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slicers/slicer1.xml" ContentType="application/vnd.ms-excel.slicer+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d.docs.live.net/4bff1f7f1b08cbf8/Documents/excel/"/>
    </mc:Choice>
  </mc:AlternateContent>
  <xr:revisionPtr revIDLastSave="799" documentId="8_{13A36251-90CA-4812-B750-A4E5E3B4B7A1}" xr6:coauthVersionLast="47" xr6:coauthVersionMax="47" xr10:uidLastSave="{7F9B8BC7-CD64-471D-A08A-A93D1DF1B6A8}"/>
  <bookViews>
    <workbookView xWindow="-120" yWindow="-120" windowWidth="19440" windowHeight="10320" firstSheet="2" activeTab="8" xr2:uid="{8833C839-1A56-48AD-BAD5-E70EFDA34D12}"/>
  </bookViews>
  <sheets>
    <sheet name="Sheet1" sheetId="1" r:id="rId1"/>
    <sheet name="Sheet2" sheetId="2" r:id="rId2"/>
    <sheet name="Sheet4" sheetId="4" r:id="rId3"/>
    <sheet name="Sheet3" sheetId="3" r:id="rId4"/>
    <sheet name="Sheet5" sheetId="5" r:id="rId5"/>
    <sheet name="Sheet6" sheetId="6" r:id="rId6"/>
    <sheet name="Sheet7" sheetId="7" r:id="rId7"/>
    <sheet name="Sheet8" sheetId="8" r:id="rId8"/>
    <sheet name="consolidation data" sheetId="9" r:id="rId9"/>
  </sheets>
  <definedNames>
    <definedName name="_xlchart.v5.0" hidden="1">Sheet5!$A$1</definedName>
    <definedName name="_xlchart.v5.1" hidden="1">Sheet5!$A$2:$A$9</definedName>
    <definedName name="_xlchart.v5.2" hidden="1">Sheet5!$B$1</definedName>
    <definedName name="_xlchart.v5.3" hidden="1">Sheet5!$B$2:$B$9</definedName>
    <definedName name="Slicer_stat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9" l="1"/>
  <c r="D2" i="9"/>
  <c r="E2" i="9"/>
  <c r="F2" i="9"/>
  <c r="C3" i="9"/>
  <c r="D3" i="9"/>
  <c r="D5" i="9" s="1"/>
  <c r="E3" i="9"/>
  <c r="E5" i="9" s="1"/>
  <c r="F3" i="9"/>
  <c r="F5" i="9" s="1"/>
  <c r="C4" i="9"/>
  <c r="D4" i="9"/>
  <c r="E4" i="9"/>
  <c r="F4" i="9"/>
  <c r="C6" i="9"/>
  <c r="D6" i="9"/>
  <c r="E6" i="9"/>
  <c r="F6" i="9"/>
  <c r="C7" i="9"/>
  <c r="D7" i="9"/>
  <c r="D9" i="9" s="1"/>
  <c r="E7" i="9"/>
  <c r="E9" i="9" s="1"/>
  <c r="F7" i="9"/>
  <c r="F9" i="9" s="1"/>
  <c r="C8" i="9"/>
  <c r="D8" i="9"/>
  <c r="E8" i="9"/>
  <c r="F8" i="9"/>
  <c r="C10" i="9"/>
  <c r="D10" i="9"/>
  <c r="D13" i="9" s="1"/>
  <c r="E10" i="9"/>
  <c r="F10" i="9"/>
  <c r="C11" i="9"/>
  <c r="D11" i="9"/>
  <c r="E11" i="9"/>
  <c r="E13" i="9" s="1"/>
  <c r="F11" i="9"/>
  <c r="F13" i="9" s="1"/>
  <c r="C12" i="9"/>
  <c r="D12" i="9"/>
  <c r="E12" i="9"/>
  <c r="F12" i="9"/>
  <c r="C14" i="9"/>
  <c r="D14" i="9"/>
  <c r="D17" i="9" s="1"/>
  <c r="E14" i="9"/>
  <c r="E17" i="9" s="1"/>
  <c r="F14" i="9"/>
  <c r="F17" i="9" s="1"/>
  <c r="C15" i="9"/>
  <c r="D15" i="9"/>
  <c r="E15" i="9"/>
  <c r="F15" i="9"/>
  <c r="C16" i="9"/>
  <c r="D16" i="9"/>
  <c r="E16" i="9"/>
  <c r="F16" i="9"/>
  <c r="C18" i="9"/>
  <c r="D18" i="9"/>
  <c r="D21" i="9" s="1"/>
  <c r="E18" i="9"/>
  <c r="E21" i="9" s="1"/>
  <c r="F18" i="9"/>
  <c r="F21" i="9" s="1"/>
  <c r="C19" i="9"/>
  <c r="D19" i="9"/>
  <c r="E19" i="9"/>
  <c r="F19" i="9"/>
  <c r="C20" i="9"/>
  <c r="D20" i="9"/>
  <c r="E20" i="9"/>
  <c r="F20" i="9"/>
  <c r="C21" i="9"/>
  <c r="H13" i="3"/>
  <c r="H3" i="3"/>
  <c r="H4" i="3"/>
  <c r="H5" i="3"/>
  <c r="H2" i="3"/>
  <c r="C9" i="9" l="1"/>
  <c r="C13" i="9"/>
  <c r="C17" i="9"/>
  <c r="C5" i="9"/>
  <c r="E15" i="3"/>
  <c r="E12" i="3"/>
  <c r="F2" i="2"/>
  <c r="G2" i="2" s="1"/>
  <c r="H2" i="2" s="1"/>
  <c r="I2" i="2"/>
  <c r="I3" i="2"/>
  <c r="I4" i="2"/>
  <c r="I5" i="2"/>
  <c r="I6" i="2"/>
  <c r="I7" i="2"/>
  <c r="I8" i="2"/>
  <c r="I9" i="2"/>
  <c r="I10" i="2"/>
  <c r="I11" i="2"/>
  <c r="I12" i="2"/>
  <c r="I13" i="2"/>
  <c r="I14" i="2"/>
  <c r="I15" i="2"/>
  <c r="I16" i="2"/>
  <c r="I17" i="2"/>
  <c r="I18" i="2"/>
  <c r="I19" i="2"/>
  <c r="I20" i="2"/>
  <c r="I21" i="2"/>
  <c r="F19" i="2"/>
  <c r="G19" i="2" s="1"/>
  <c r="F20" i="2"/>
  <c r="G20" i="2" s="1"/>
  <c r="F21" i="2"/>
  <c r="G21" i="2" s="1"/>
  <c r="H21" i="2" s="1"/>
  <c r="F3" i="2"/>
  <c r="G3" i="2" s="1"/>
  <c r="H3" i="2" s="1"/>
  <c r="F4" i="2"/>
  <c r="G4" i="2" s="1"/>
  <c r="F5" i="2"/>
  <c r="F6" i="2"/>
  <c r="F7" i="2"/>
  <c r="F8" i="2"/>
  <c r="F9" i="2"/>
  <c r="G9" i="2" s="1"/>
  <c r="H9" i="2" s="1"/>
  <c r="F10" i="2"/>
  <c r="F11" i="2"/>
  <c r="G11" i="2" s="1"/>
  <c r="H11" i="2" s="1"/>
  <c r="F12" i="2"/>
  <c r="G12" i="2" s="1"/>
  <c r="F13" i="2"/>
  <c r="F14" i="2"/>
  <c r="G14" i="2" s="1"/>
  <c r="H14" i="2" s="1"/>
  <c r="F15" i="2"/>
  <c r="F16" i="2"/>
  <c r="G16" i="2" s="1"/>
  <c r="H16" i="2" s="1"/>
  <c r="F17" i="2"/>
  <c r="G17" i="2" s="1"/>
  <c r="H17" i="2" s="1"/>
  <c r="F18" i="2"/>
  <c r="G18" i="2" s="1"/>
  <c r="H18" i="2" s="1"/>
  <c r="D3" i="1"/>
  <c r="E3" i="1" s="1"/>
  <c r="D4" i="1"/>
  <c r="E4" i="1" s="1"/>
  <c r="D5" i="1"/>
  <c r="E5" i="1" s="1"/>
  <c r="D6" i="1"/>
  <c r="E6" i="1" s="1"/>
  <c r="D7" i="1"/>
  <c r="E7" i="1" s="1"/>
  <c r="D8" i="1"/>
  <c r="E8" i="1" s="1"/>
  <c r="D9" i="1"/>
  <c r="E9" i="1" s="1"/>
  <c r="D10" i="1"/>
  <c r="E10" i="1" s="1"/>
  <c r="D11" i="1"/>
  <c r="E11" i="1" s="1"/>
  <c r="D2" i="1"/>
  <c r="E2" i="1" s="1"/>
  <c r="C5" i="4"/>
  <c r="M18" i="2" l="1"/>
  <c r="L17" i="2"/>
  <c r="M17" i="2"/>
  <c r="L9" i="2"/>
  <c r="L16" i="2"/>
  <c r="M3" i="2"/>
  <c r="M21" i="2"/>
  <c r="M2" i="2"/>
  <c r="J2" i="2"/>
  <c r="K2" i="2" s="1"/>
  <c r="L2" i="2"/>
  <c r="L21" i="2"/>
  <c r="L14" i="2"/>
  <c r="M16" i="2"/>
  <c r="M11" i="2"/>
  <c r="L11" i="2"/>
  <c r="L3" i="2"/>
  <c r="M9" i="2"/>
  <c r="L18" i="2"/>
  <c r="M14" i="2"/>
  <c r="J14" i="2"/>
  <c r="K14" i="2" s="1"/>
  <c r="G6" i="2"/>
  <c r="H6" i="2" s="1"/>
  <c r="H19" i="2"/>
  <c r="L19" i="2" s="1"/>
  <c r="H12" i="2"/>
  <c r="J12" i="2" s="1"/>
  <c r="K12" i="2" s="1"/>
  <c r="H4" i="2"/>
  <c r="J4" i="2" s="1"/>
  <c r="K4" i="2" s="1"/>
  <c r="H20" i="2"/>
  <c r="L20" i="2" s="1"/>
  <c r="G10" i="2"/>
  <c r="J21" i="2"/>
  <c r="K21" i="2" s="1"/>
  <c r="J17" i="2"/>
  <c r="K17" i="2" s="1"/>
  <c r="J9" i="2"/>
  <c r="K9" i="2" s="1"/>
  <c r="J3" i="2"/>
  <c r="K3" i="2" s="1"/>
  <c r="J18" i="2"/>
  <c r="K18" i="2" s="1"/>
  <c r="G8" i="2"/>
  <c r="G15" i="2"/>
  <c r="G7" i="2"/>
  <c r="J16" i="2"/>
  <c r="K16" i="2" s="1"/>
  <c r="G5" i="2"/>
  <c r="H5" i="2" s="1"/>
  <c r="J11" i="2"/>
  <c r="K11" i="2" s="1"/>
  <c r="G13" i="2"/>
  <c r="H13" i="2" s="1"/>
  <c r="D5" i="4"/>
  <c r="E5" i="4"/>
  <c r="M4" i="2" l="1"/>
  <c r="M12" i="2"/>
  <c r="L12" i="2"/>
  <c r="O2" i="2"/>
  <c r="N2" i="2"/>
  <c r="H7" i="2"/>
  <c r="M7" i="2" s="1"/>
  <c r="L7" i="2"/>
  <c r="H15" i="2"/>
  <c r="M15" i="2" s="1"/>
  <c r="L5" i="2"/>
  <c r="L4" i="2"/>
  <c r="M5" i="2"/>
  <c r="M13" i="2"/>
  <c r="L6" i="2"/>
  <c r="L13" i="2"/>
  <c r="J20" i="2"/>
  <c r="K20" i="2" s="1"/>
  <c r="M20" i="2"/>
  <c r="N17" i="2"/>
  <c r="O17" i="2"/>
  <c r="N16" i="2"/>
  <c r="O16" i="2"/>
  <c r="N14" i="2"/>
  <c r="O14" i="2"/>
  <c r="H8" i="2"/>
  <c r="L8" i="2" s="1"/>
  <c r="N4" i="2"/>
  <c r="O4" i="2"/>
  <c r="N3" i="2"/>
  <c r="O3" i="2"/>
  <c r="N12" i="2"/>
  <c r="O12" i="2"/>
  <c r="M6" i="2"/>
  <c r="N21" i="2"/>
  <c r="O21" i="2"/>
  <c r="H10" i="2"/>
  <c r="L10" i="2" s="1"/>
  <c r="N18" i="2"/>
  <c r="O18" i="2"/>
  <c r="N11" i="2"/>
  <c r="O11" i="2"/>
  <c r="N9" i="2"/>
  <c r="O9" i="2"/>
  <c r="J19" i="2"/>
  <c r="K19" i="2" s="1"/>
  <c r="M19" i="2"/>
  <c r="J6" i="2"/>
  <c r="K6" i="2" s="1"/>
  <c r="J5" i="2"/>
  <c r="K5" i="2" s="1"/>
  <c r="J13" i="2"/>
  <c r="K13" i="2" s="1"/>
  <c r="J7" i="2" l="1"/>
  <c r="K7" i="2" s="1"/>
  <c r="O7" i="2" s="1"/>
  <c r="J8" i="2"/>
  <c r="K8" i="2" s="1"/>
  <c r="N8" i="2" s="1"/>
  <c r="J15" i="2"/>
  <c r="K15" i="2" s="1"/>
  <c r="M8" i="2"/>
  <c r="L15" i="2"/>
  <c r="J10" i="2"/>
  <c r="K10" i="2" s="1"/>
  <c r="N13" i="2"/>
  <c r="O13" i="2"/>
  <c r="M10" i="2"/>
  <c r="N5" i="2"/>
  <c r="O5" i="2"/>
  <c r="N19" i="2"/>
  <c r="O19" i="2"/>
  <c r="N6" i="2"/>
  <c r="O6" i="2"/>
  <c r="N20" i="2"/>
  <c r="O20" i="2"/>
  <c r="P14" i="2" l="1"/>
  <c r="N7" i="2"/>
  <c r="P13" i="2"/>
  <c r="O8" i="2"/>
  <c r="P2" i="2"/>
  <c r="P18" i="2"/>
  <c r="O15" i="2"/>
  <c r="N15" i="2"/>
  <c r="P10" i="2"/>
  <c r="P4" i="2"/>
  <c r="P8" i="2"/>
  <c r="P17" i="2"/>
  <c r="P5" i="2"/>
  <c r="P7" i="2"/>
  <c r="P21" i="2"/>
  <c r="P12" i="2"/>
  <c r="P16" i="2"/>
  <c r="P20" i="2"/>
  <c r="P19" i="2"/>
  <c r="P6" i="2"/>
  <c r="P9" i="2"/>
  <c r="P15" i="2"/>
  <c r="P11" i="2"/>
  <c r="N10" i="2"/>
  <c r="O10" i="2"/>
  <c r="P3" i="2"/>
</calcChain>
</file>

<file path=xl/sharedStrings.xml><?xml version="1.0" encoding="utf-8"?>
<sst xmlns="http://schemas.openxmlformats.org/spreadsheetml/2006/main" count="125" uniqueCount="89">
  <si>
    <t>sr.no</t>
  </si>
  <si>
    <t>name</t>
  </si>
  <si>
    <t>ankita</t>
  </si>
  <si>
    <t>anjali</t>
  </si>
  <si>
    <t>saniya</t>
  </si>
  <si>
    <t>neha</t>
  </si>
  <si>
    <t>durga</t>
  </si>
  <si>
    <t>rani</t>
  </si>
  <si>
    <t>rupali</t>
  </si>
  <si>
    <t>sruti</t>
  </si>
  <si>
    <t>kajal</t>
  </si>
  <si>
    <t>rajni</t>
  </si>
  <si>
    <t>salary</t>
  </si>
  <si>
    <t>bonus</t>
  </si>
  <si>
    <t>total</t>
  </si>
  <si>
    <t>roll no</t>
  </si>
  <si>
    <t>class</t>
  </si>
  <si>
    <t>age</t>
  </si>
  <si>
    <t>math</t>
  </si>
  <si>
    <t>science</t>
  </si>
  <si>
    <t>marathi</t>
  </si>
  <si>
    <t>hindi</t>
  </si>
  <si>
    <t>english</t>
  </si>
  <si>
    <t xml:space="preserve">total </t>
  </si>
  <si>
    <t>percentage</t>
  </si>
  <si>
    <t>ajay</t>
  </si>
  <si>
    <t>raj</t>
  </si>
  <si>
    <t>shivani</t>
  </si>
  <si>
    <t>parth</t>
  </si>
  <si>
    <t>shivam</t>
  </si>
  <si>
    <t>shiv</t>
  </si>
  <si>
    <t>ketan</t>
  </si>
  <si>
    <t>shivraj</t>
  </si>
  <si>
    <t>seema</t>
  </si>
  <si>
    <t>chetan</t>
  </si>
  <si>
    <t>sarthak</t>
  </si>
  <si>
    <t>mahesh</t>
  </si>
  <si>
    <t>manisha</t>
  </si>
  <si>
    <t>amol</t>
  </si>
  <si>
    <t>vishal</t>
  </si>
  <si>
    <t>umesh</t>
  </si>
  <si>
    <t>ajinkya</t>
  </si>
  <si>
    <t>amruta</t>
  </si>
  <si>
    <t>aditi</t>
  </si>
  <si>
    <t>grade</t>
  </si>
  <si>
    <t>max mark</t>
  </si>
  <si>
    <t>min mark</t>
  </si>
  <si>
    <t>pass/fail</t>
  </si>
  <si>
    <t>rank</t>
  </si>
  <si>
    <t>amar</t>
  </si>
  <si>
    <t>suman</t>
  </si>
  <si>
    <t>kiran</t>
  </si>
  <si>
    <t>ajit</t>
  </si>
  <si>
    <t>Email Id</t>
  </si>
  <si>
    <t>Name</t>
  </si>
  <si>
    <t>Id</t>
  </si>
  <si>
    <t>am.1000@gmail.com</t>
  </si>
  <si>
    <t>su.1001@gmail.com</t>
  </si>
  <si>
    <t>ki.1002@gmail.com</t>
  </si>
  <si>
    <t>aj.1003@gmail.com</t>
  </si>
  <si>
    <t>id</t>
  </si>
  <si>
    <t>marks</t>
  </si>
  <si>
    <t>DATE</t>
  </si>
  <si>
    <t>price</t>
  </si>
  <si>
    <t>Timeline</t>
  </si>
  <si>
    <t>Values</t>
  </si>
  <si>
    <t>Forecast</t>
  </si>
  <si>
    <t>Lower Confidence Bound</t>
  </si>
  <si>
    <t>Upper Confidence Bound</t>
  </si>
  <si>
    <t>state</t>
  </si>
  <si>
    <t>maharashtra</t>
  </si>
  <si>
    <t>delhi</t>
  </si>
  <si>
    <t>punjab</t>
  </si>
  <si>
    <t>rajasthan</t>
  </si>
  <si>
    <t>goa</t>
  </si>
  <si>
    <t>gujrat</t>
  </si>
  <si>
    <t>up</t>
  </si>
  <si>
    <t>mp</t>
  </si>
  <si>
    <t>population</t>
  </si>
  <si>
    <t>remark</t>
  </si>
  <si>
    <t>dollar sign</t>
  </si>
  <si>
    <t>year</t>
  </si>
  <si>
    <t>quarter1</t>
  </si>
  <si>
    <t>quarter2</t>
  </si>
  <si>
    <t>quarter3</t>
  </si>
  <si>
    <t>quarter4</t>
  </si>
  <si>
    <t>Practice_Excel</t>
  </si>
  <si>
    <t>consolidation data</t>
  </si>
  <si>
    <t>from sheet 6,7 and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</si>
</sst>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rial Rounded MT Bold"/>
      <family val="2"/>
    </font>
    <font>
      <u/>
      <sz val="11"/>
      <color theme="10"/>
      <name val="Aptos Narrow"/>
      <family val="2"/>
      <scheme val="minor"/>
    </font>
    <font>
      <b/>
      <i/>
      <sz val="14"/>
      <color theme="1"/>
      <name val="Aptos Narrow"/>
      <family val="2"/>
      <scheme val="minor"/>
    </font>
    <font>
      <sz val="14"/>
      <color theme="1"/>
      <name val="Aptos Narrow"/>
      <family val="2"/>
      <scheme val="minor"/>
    </font>
    <font>
      <b/>
      <sz val="11"/>
      <color theme="1"/>
      <name val="Aptos Narrow"/>
      <family val="2"/>
      <scheme val="minor"/>
    </font>
    <font>
      <sz val="8"/>
      <name val="Aptos Narrow"/>
      <family val="2"/>
      <scheme val="minor"/>
    </font>
  </fonts>
  <fills count="4">
    <fill>
      <patternFill patternType="none"/>
    </fill>
    <fill>
      <patternFill patternType="gray125"/>
    </fill>
    <fill>
      <patternFill patternType="solid">
        <fgColor theme="7" tint="0.39997558519241921"/>
        <bgColor indexed="64"/>
      </patternFill>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2" fillId="0" borderId="0" applyNumberFormat="0" applyFill="0" applyBorder="0" applyAlignment="0" applyProtection="0"/>
  </cellStyleXfs>
  <cellXfs count="26">
    <xf numFmtId="0" fontId="0" fillId="0" borderId="0" xfId="0"/>
    <xf numFmtId="10" fontId="0" fillId="0" borderId="0" xfId="0" applyNumberFormat="1"/>
    <xf numFmtId="0" fontId="0" fillId="0" borderId="1" xfId="0" applyBorder="1" applyAlignment="1">
      <alignment horizontal="center"/>
    </xf>
    <xf numFmtId="0" fontId="1" fillId="0" borderId="1" xfId="0" applyFont="1" applyBorder="1" applyAlignment="1">
      <alignment horizontal="center"/>
    </xf>
    <xf numFmtId="0" fontId="0" fillId="0" borderId="0" xfId="0" applyAlignment="1">
      <alignment horizontal="center"/>
    </xf>
    <xf numFmtId="0" fontId="2" fillId="0" borderId="1" xfId="1" applyBorder="1" applyAlignment="1">
      <alignment horizontal="center"/>
    </xf>
    <xf numFmtId="0" fontId="3" fillId="0" borderId="1" xfId="0" applyFont="1" applyBorder="1" applyAlignment="1">
      <alignment horizontal="center"/>
    </xf>
    <xf numFmtId="0" fontId="4" fillId="0" borderId="0" xfId="0" applyFont="1" applyAlignment="1">
      <alignment horizontal="center"/>
    </xf>
    <xf numFmtId="0" fontId="0" fillId="0" borderId="2" xfId="0" applyBorder="1" applyAlignment="1">
      <alignment horizontal="center"/>
    </xf>
    <xf numFmtId="0" fontId="0" fillId="0" borderId="3" xfId="0" applyBorder="1"/>
    <xf numFmtId="0" fontId="0" fillId="0" borderId="7" xfId="0" applyBorder="1" applyAlignment="1">
      <alignment horizontal="center"/>
    </xf>
    <xf numFmtId="0" fontId="0" fillId="0" borderId="8" xfId="0" applyBorder="1" applyAlignment="1">
      <alignment horizontal="center"/>
    </xf>
    <xf numFmtId="0" fontId="0" fillId="0" borderId="9" xfId="0" applyBorder="1"/>
    <xf numFmtId="15" fontId="0" fillId="0" borderId="0" xfId="0" applyNumberFormat="1" applyAlignment="1">
      <alignment horizontal="center"/>
    </xf>
    <xf numFmtId="15" fontId="0" fillId="0" borderId="0" xfId="0" applyNumberFormat="1"/>
    <xf numFmtId="2" fontId="0" fillId="0" borderId="0" xfId="0" applyNumberFormat="1"/>
    <xf numFmtId="0" fontId="0" fillId="2" borderId="4" xfId="0" applyFill="1" applyBorder="1" applyAlignment="1">
      <alignment horizontal="center"/>
    </xf>
    <xf numFmtId="0" fontId="0" fillId="2" borderId="5" xfId="0" applyFill="1" applyBorder="1" applyAlignment="1">
      <alignment horizontal="center"/>
    </xf>
    <xf numFmtId="0" fontId="0" fillId="2" borderId="6" xfId="0" applyFill="1" applyBorder="1"/>
    <xf numFmtId="0" fontId="0" fillId="0" borderId="7" xfId="0" applyBorder="1"/>
    <xf numFmtId="0" fontId="0" fillId="0" borderId="4" xfId="0" applyBorder="1"/>
    <xf numFmtId="0" fontId="0" fillId="0" borderId="6" xfId="0" applyBorder="1"/>
    <xf numFmtId="0" fontId="0" fillId="0" borderId="2" xfId="0" applyBorder="1"/>
    <xf numFmtId="1" fontId="0" fillId="0" borderId="1" xfId="0" applyNumberFormat="1" applyBorder="1" applyAlignment="1">
      <alignment horizontal="center"/>
    </xf>
    <xf numFmtId="0" fontId="0" fillId="0" borderId="1" xfId="0" applyBorder="1"/>
    <xf numFmtId="0" fontId="5" fillId="3" borderId="0" xfId="0" applyFont="1" applyFill="1"/>
  </cellXfs>
  <cellStyles count="2">
    <cellStyle name="Hyperlink" xfId="1" builtinId="8"/>
    <cellStyle name="Normal" xfId="0" builtinId="0"/>
  </cellStyles>
  <dxfs count="30">
    <dxf>
      <font>
        <color rgb="FF006100"/>
      </font>
      <fill>
        <patternFill>
          <bgColor rgb="FFC6EFCE"/>
        </patternFill>
      </fill>
    </dxf>
    <dxf>
      <font>
        <color rgb="FF9C0006"/>
      </font>
      <fill>
        <patternFill>
          <bgColor rgb="FFFFC7CE"/>
        </patternFill>
      </fill>
    </dxf>
    <dxf>
      <border diagonalUp="0" diagonalDown="0">
        <left style="thin">
          <color indexed="64"/>
        </left>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ill>
        <patternFill patternType="solid">
          <fgColor indexed="64"/>
          <bgColor theme="7"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20" formatCode="dd/mm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Sheet4!$B$1</c:f>
              <c:strCache>
                <c:ptCount val="1"/>
                <c:pt idx="0">
                  <c:v>Values</c:v>
                </c:pt>
              </c:strCache>
            </c:strRef>
          </c:tx>
          <c:spPr>
            <a:ln w="28575" cap="rnd">
              <a:solidFill>
                <a:schemeClr val="accent1"/>
              </a:solidFill>
              <a:round/>
            </a:ln>
            <a:effectLst/>
          </c:spPr>
          <c:marker>
            <c:symbol val="none"/>
          </c:marker>
          <c:val>
            <c:numRef>
              <c:f>Sheet4!$B$2:$B$5</c:f>
              <c:numCache>
                <c:formatCode>General</c:formatCode>
                <c:ptCount val="4"/>
                <c:pt idx="0">
                  <c:v>208.1</c:v>
                </c:pt>
                <c:pt idx="1">
                  <c:v>209.3</c:v>
                </c:pt>
                <c:pt idx="2">
                  <c:v>208.5</c:v>
                </c:pt>
              </c:numCache>
            </c:numRef>
          </c:val>
          <c:smooth val="0"/>
          <c:extLst>
            <c:ext xmlns:c16="http://schemas.microsoft.com/office/drawing/2014/chart" uri="{C3380CC4-5D6E-409C-BE32-E72D297353CC}">
              <c16:uniqueId val="{00000000-5662-4397-B264-F59C4A22043F}"/>
            </c:ext>
          </c:extLst>
        </c:ser>
        <c:ser>
          <c:idx val="1"/>
          <c:order val="1"/>
          <c:tx>
            <c:strRef>
              <c:f>Sheet4!$C$1</c:f>
              <c:strCache>
                <c:ptCount val="1"/>
                <c:pt idx="0">
                  <c:v>Forecast</c:v>
                </c:pt>
              </c:strCache>
            </c:strRef>
          </c:tx>
          <c:spPr>
            <a:ln w="25400" cap="rnd">
              <a:solidFill>
                <a:schemeClr val="accent2"/>
              </a:solidFill>
              <a:round/>
            </a:ln>
            <a:effectLst/>
          </c:spPr>
          <c:marker>
            <c:symbol val="none"/>
          </c:marker>
          <c:cat>
            <c:numRef>
              <c:f>Sheet4!$A$2:$A$5</c:f>
              <c:numCache>
                <c:formatCode>d\-mmm\-yy</c:formatCode>
                <c:ptCount val="4"/>
                <c:pt idx="0">
                  <c:v>46023</c:v>
                </c:pt>
                <c:pt idx="1">
                  <c:v>46054</c:v>
                </c:pt>
                <c:pt idx="2">
                  <c:v>46082</c:v>
                </c:pt>
                <c:pt idx="3">
                  <c:v>46110</c:v>
                </c:pt>
              </c:numCache>
            </c:numRef>
          </c:cat>
          <c:val>
            <c:numRef>
              <c:f>Sheet4!$C$2:$C$5</c:f>
              <c:numCache>
                <c:formatCode>General</c:formatCode>
                <c:ptCount val="4"/>
                <c:pt idx="2">
                  <c:v>208.5</c:v>
                </c:pt>
                <c:pt idx="3">
                  <c:v>208.9583990000003</c:v>
                </c:pt>
              </c:numCache>
            </c:numRef>
          </c:val>
          <c:smooth val="0"/>
          <c:extLst>
            <c:ext xmlns:c16="http://schemas.microsoft.com/office/drawing/2014/chart" uri="{C3380CC4-5D6E-409C-BE32-E72D297353CC}">
              <c16:uniqueId val="{00000001-5662-4397-B264-F59C4A22043F}"/>
            </c:ext>
          </c:extLst>
        </c:ser>
        <c:ser>
          <c:idx val="2"/>
          <c:order val="2"/>
          <c:tx>
            <c:strRef>
              <c:f>Sheet4!$D$1</c:f>
              <c:strCache>
                <c:ptCount val="1"/>
                <c:pt idx="0">
                  <c:v>Lower Confidence Bound</c:v>
                </c:pt>
              </c:strCache>
            </c:strRef>
          </c:tx>
          <c:spPr>
            <a:ln w="12700" cap="rnd">
              <a:solidFill>
                <a:srgbClr val="E97132"/>
              </a:solidFill>
              <a:prstDash val="solid"/>
              <a:round/>
            </a:ln>
            <a:effectLst/>
          </c:spPr>
          <c:marker>
            <c:symbol val="none"/>
          </c:marker>
          <c:cat>
            <c:numRef>
              <c:f>Sheet4!$A$2:$A$5</c:f>
              <c:numCache>
                <c:formatCode>d\-mmm\-yy</c:formatCode>
                <c:ptCount val="4"/>
                <c:pt idx="0">
                  <c:v>46023</c:v>
                </c:pt>
                <c:pt idx="1">
                  <c:v>46054</c:v>
                </c:pt>
                <c:pt idx="2">
                  <c:v>46082</c:v>
                </c:pt>
                <c:pt idx="3">
                  <c:v>46110</c:v>
                </c:pt>
              </c:numCache>
            </c:numRef>
          </c:cat>
          <c:val>
            <c:numRef>
              <c:f>Sheet4!$D$2:$D$5</c:f>
              <c:numCache>
                <c:formatCode>General</c:formatCode>
                <c:ptCount val="4"/>
                <c:pt idx="2" formatCode="0.00">
                  <c:v>208.5</c:v>
                </c:pt>
                <c:pt idx="3" formatCode="0.00">
                  <c:v>207.80462484078024</c:v>
                </c:pt>
              </c:numCache>
            </c:numRef>
          </c:val>
          <c:smooth val="0"/>
          <c:extLst>
            <c:ext xmlns:c16="http://schemas.microsoft.com/office/drawing/2014/chart" uri="{C3380CC4-5D6E-409C-BE32-E72D297353CC}">
              <c16:uniqueId val="{00000002-5662-4397-B264-F59C4A22043F}"/>
            </c:ext>
          </c:extLst>
        </c:ser>
        <c:ser>
          <c:idx val="3"/>
          <c:order val="3"/>
          <c:tx>
            <c:strRef>
              <c:f>Sheet4!$E$1</c:f>
              <c:strCache>
                <c:ptCount val="1"/>
                <c:pt idx="0">
                  <c:v>Upper Confidence Bound</c:v>
                </c:pt>
              </c:strCache>
            </c:strRef>
          </c:tx>
          <c:spPr>
            <a:ln w="12700" cap="rnd">
              <a:solidFill>
                <a:srgbClr val="E97132"/>
              </a:solidFill>
              <a:prstDash val="solid"/>
              <a:round/>
            </a:ln>
            <a:effectLst/>
          </c:spPr>
          <c:marker>
            <c:symbol val="none"/>
          </c:marker>
          <c:cat>
            <c:numRef>
              <c:f>Sheet4!$A$2:$A$5</c:f>
              <c:numCache>
                <c:formatCode>d\-mmm\-yy</c:formatCode>
                <c:ptCount val="4"/>
                <c:pt idx="0">
                  <c:v>46023</c:v>
                </c:pt>
                <c:pt idx="1">
                  <c:v>46054</c:v>
                </c:pt>
                <c:pt idx="2">
                  <c:v>46082</c:v>
                </c:pt>
                <c:pt idx="3">
                  <c:v>46110</c:v>
                </c:pt>
              </c:numCache>
            </c:numRef>
          </c:cat>
          <c:val>
            <c:numRef>
              <c:f>Sheet4!$E$2:$E$5</c:f>
              <c:numCache>
                <c:formatCode>General</c:formatCode>
                <c:ptCount val="4"/>
                <c:pt idx="2" formatCode="0.00">
                  <c:v>208.5</c:v>
                </c:pt>
                <c:pt idx="3" formatCode="0.00">
                  <c:v>210.11217315922036</c:v>
                </c:pt>
              </c:numCache>
            </c:numRef>
          </c:val>
          <c:smooth val="0"/>
          <c:extLst>
            <c:ext xmlns:c16="http://schemas.microsoft.com/office/drawing/2014/chart" uri="{C3380CC4-5D6E-409C-BE32-E72D297353CC}">
              <c16:uniqueId val="{00000003-5662-4397-B264-F59C4A22043F}"/>
            </c:ext>
          </c:extLst>
        </c:ser>
        <c:dLbls>
          <c:showLegendKey val="0"/>
          <c:showVal val="0"/>
          <c:showCatName val="0"/>
          <c:showSerName val="0"/>
          <c:showPercent val="0"/>
          <c:showBubbleSize val="0"/>
        </c:dLbls>
        <c:smooth val="0"/>
        <c:axId val="1821290464"/>
        <c:axId val="1785167248"/>
      </c:lineChart>
      <c:catAx>
        <c:axId val="1821290464"/>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5167248"/>
        <c:crosses val="autoZero"/>
        <c:auto val="1"/>
        <c:lblAlgn val="ctr"/>
        <c:lblOffset val="100"/>
        <c:noMultiLvlLbl val="0"/>
      </c:catAx>
      <c:valAx>
        <c:axId val="17851672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12904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Sheet5!$B$1</c:f>
              <c:strCache>
                <c:ptCount val="1"/>
                <c:pt idx="0">
                  <c:v>population</c:v>
                </c:pt>
              </c:strCache>
            </c:strRef>
          </c:tx>
          <c:spPr>
            <a:solidFill>
              <a:schemeClr val="accent6">
                <a:alpha val="85000"/>
              </a:schemeClr>
            </a:solidFill>
            <a:ln w="9525" cap="flat" cmpd="sng" algn="ctr">
              <a:solidFill>
                <a:schemeClr val="accent6">
                  <a:lumMod val="75000"/>
                </a:schemeClr>
              </a:solidFill>
              <a:round/>
            </a:ln>
            <a:effectLst/>
            <a:sp3d contourW="9525">
              <a:contourClr>
                <a:schemeClr val="accent6">
                  <a:lumMod val="75000"/>
                </a:schemeClr>
              </a:contourClr>
            </a:sp3d>
          </c:spPr>
          <c:invertIfNegative val="0"/>
          <c:cat>
            <c:strRef>
              <c:f>Sheet5!$A$2:$A$9</c:f>
              <c:strCache>
                <c:ptCount val="1"/>
                <c:pt idx="0">
                  <c:v>punjab</c:v>
                </c:pt>
              </c:strCache>
            </c:strRef>
          </c:cat>
          <c:val>
            <c:numRef>
              <c:f>Sheet5!$B$2:$B$9</c:f>
              <c:numCache>
                <c:formatCode>General</c:formatCode>
                <c:ptCount val="1"/>
                <c:pt idx="0">
                  <c:v>750000</c:v>
                </c:pt>
              </c:numCache>
            </c:numRef>
          </c:val>
          <c:extLst>
            <c:ext xmlns:c16="http://schemas.microsoft.com/office/drawing/2014/chart" uri="{C3380CC4-5D6E-409C-BE32-E72D297353CC}">
              <c16:uniqueId val="{00000000-38DB-4128-91C7-CC589EC1EFF4}"/>
            </c:ext>
          </c:extLst>
        </c:ser>
        <c:dLbls>
          <c:showLegendKey val="0"/>
          <c:showVal val="0"/>
          <c:showCatName val="0"/>
          <c:showSerName val="0"/>
          <c:showPercent val="0"/>
          <c:showBubbleSize val="0"/>
        </c:dLbls>
        <c:gapWidth val="65"/>
        <c:shape val="box"/>
        <c:axId val="776765424"/>
        <c:axId val="617834480"/>
        <c:axId val="0"/>
      </c:bar3DChart>
      <c:catAx>
        <c:axId val="77676542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17834480"/>
        <c:crosses val="autoZero"/>
        <c:auto val="1"/>
        <c:lblAlgn val="ctr"/>
        <c:lblOffset val="100"/>
        <c:noMultiLvlLbl val="0"/>
      </c:catAx>
      <c:valAx>
        <c:axId val="617834480"/>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767654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1">
            <a:lumMod val="7000"/>
            <a:lumOff val="93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tileRect/>
    </a:gradFill>
    <a:ln w="9525" cap="flat" cmpd="sng" algn="ctr">
      <a:solidFill>
        <a:srgbClr val="00B050"/>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plotArea>
      <cx:plotAreaRegion>
        <cx:plotSurface>
          <cx:spPr>
            <a:solidFill>
              <a:srgbClr val="002060"/>
            </a:solidFill>
          </cx:spPr>
        </cx:plotSurface>
        <cx:series layoutId="regionMap" uniqueId="{00000001-EF53-414A-B3A4-37F34D5CFE48}">
          <cx:tx>
            <cx:txData>
              <cx:f>_xlchart.v5.2</cx:f>
              <cx:v>population</cx:v>
            </cx:txData>
          </cx:tx>
          <cx:spPr>
            <a:solidFill>
              <a:srgbClr val="FFC000"/>
            </a:solidFill>
          </cx:spPr>
          <cx:dataId val="0"/>
          <cx:layoutPr>
            <cx:geography viewedRegionType="dataOnly" cultureLanguage="en-US" cultureRegion="IN" attribution="Powered by Bing">
              <cx:geoCache provider="{E9337A44-BEBE-4D9F-B70C-5C5E7DAFC167}">
                <cx:binary>nFnZctw4lv0Vh56HNkACINjRrgeQuUupzZblekGoJBkESQAEAS7g1w/kqq6tezwTk5ERKRL7vbj3
nHv0z+flH8/d69PwblGddv94Xj5e1N73//jwwT3Xr+rJvVfyeTDOfPPvn436YL59k8+vH16Gp1lq
8SEFEH14rp8G/7pc/PTPOJt4NZfm+clLo2/H1yHcvbqx8+4Hbf+x6d3Ti5K6ks4P8tnDjxf9qJun
Xy7evWovffgU+tePF3/pc/Huw99n+rdV33VxY358iWMz8J6ilBY5Si/edUaL397n+D2CGOVZkRXf
P/Rfa56fVBx387/u4/sunl5ehlfn4jG+//4x7i97jq/ZxbtnM2r/ZikRjfbx4qBf5NPFO+lM+WtD
ad42fDh/P+GHv9r4p3/+7UU889/e/MkNP2r73VjVk3/afLfyn0b+uPVfhv/b0B8561c/Hl4+XqSk
ANmfvPc2yW8j/5PJ/zTk9cn5jxc5eR99hTKQZoRCggC5eDe/fm/J3lOKs4JSgnJEQIEu3mkz+Dq6
P32PIczzIqcYYpLii3fOjG8tafEeoxSCOBDnhBCQ/n6xb0wXhNG/2+K353d6VDdGau8+XhQUXLzr
f+33ttMcgRwTnGZpkSIcvyjep/756S5GT+wO/0sI0RKpU70bx8ntB9iOT1qSngma8ZusS9xptiBU
XYLMSU+0ZlhpcRgW2pwKoGE5YkwfqA74pRiALi3Kk20OAarSuVlOSavrzYoSwgaM+REpKZhY1icy
ohvTyCob08DIok5J0qFqLmjOcsNHNhTynAU3lNMqH1KDXjgay2zC6ti63u5S1cGVZaBdtrYf8zKk
VG5kk8PPHZYJZbatu2O2In3Vt2G91jBXz2NrQEkoIb8Emdb7uN583Rch2aYoEZb1BImHFEy4HJKp
L1EYZTUUvP0Zq7GrxBpX5SoTirWy618mkE0HZI34gpSbD4k2WZUTOFVWq9tetuapDbU/NjCowzzQ
5XpMKN2ZGi8Zc87AhbVmGW/qbln2SUv0yYh5vAvK4aUkOq1Z7Zv0c4CKiWFZ7mWTibOr0cxSPpld
ovKbFOnpsy+AeLWdHB4lmdGtAmBmBtDiRlKblctg+o0iXN5PjUoPRRoemnyyNzWW8D5rLT6M0dYn
r7i8nGqqH2a+gJ0EIGOLE7KKV6McrG2eZtvLc13TemZWQlgwM+fTPSoadc77+pUjTstVtmPpRmIf
iQy8TFDon8nKv4Um0LXKi+VLnfb7tsbHcUzbjewhvJ1oCzaSNu1Nk8/FIyJLfwlDj06ZGrLDOK7d
C2rBxFw7GMVcU+Nz0Fly1mtPHQOowM89Hu2up0Id3FIH1tbDfFQA8fPcabvPO6RKDyk8QJ2kVzbk
r3w4wfQxa+LKABbFvUuUOXbYuWrlOscsbcZ+s4ogRKmSXq8sOkHdCGLac1Gvblcka/icrh281t04
lAIZ+wW6NZy7UPBKgAlchtROlbBqKLN8mqsRRgcxSNLiSs3jYFhtercHNc+qUU+edQn5Ns6Inv2Y
+41NbbEl3i5lbdLl4GMwn0mRfxZI2qposd9KmdOtC0P+qWiTadt3qnsidWIZcTKTJSYJZ7wVcNMM
xDG7hrBddZKUSxhNmQRgKzIasEGrHJmQwV4pYsI+tWO+6xqgDmrNr/Uy7FSme5bTtb/ilKMKN7TE
nrA8LP1uFRPrlWVDw8swBV3OqfkF12EHUSdPAi+U9SNob/uFyG2fuGHXupQh2KItgQPZpVzqE00B
/drKJUxMAD3dQmnnO6L7r4ioX/QqNnh1l07nz82kyc3KW7rvkwFtB6h4TD5vM6qBZuUM567s17vZ
oTsKZWCqG3xlLQ/3opCeZXOrGZfKlotULxk250Guy4b4VJdwJMmdIf34pTZzygBs193QEnCdm8aX
Jmh4Ao3wR+MytBl9n7962vItMSS7GsYsBhPI4YbLvLjP8jRadUFpTB7FUrppsqXBZt3Ge6w3FIZZ
s2btly9CcXrI8qbedK1z2xTk5rjkiSzzdnK7yTTh0Bq8CAadIwe3inXHR77eULHircgzx3gmchZ4
WCoxRG+HFtclXnXBYFL7XVvYbpPw3LA+jGiXjpgChkj2S9/A2sbeJlz6AcBSAb8cQWv4l6CTtZxM
21/6Yp6OwC76qLuZ7mtV6F9mrP1prlNQ0qIFdzHI+5rJOuesmy2R5ZLO2WciTZ6WPnT9ptXLODGO
anp2Iia+TS1ptm2mpmMLJ+JlKdTnbLZ20we5SzoYWDTEvkMmryJg4MdJJ7ejm89BxpPzpqwnqcth
CliwlZLmcRBq3aiONmUTvN8a09CKD10RWJNivMmG2jFXjDH+fcClk1DuvMbgxuXdpgVjx2pRlInm
E2uK/HJs8FiOWS3KNkOnZjWOoYLe63VaTthE7GZYI39fJ0RWapxfWpq1+9kIWHE+XdVa3jYZQVXb
JMt2pdNQSgfQ1pt53WUj73cZjhkcw2YtF57ZzajW6bUQ/rae8s8N6X3BpjhBCds+PPZNTBtMcNXg
/UQ4Kt2KeAk8qFzHh50HbmUr4OFn2RX4DpBuOsXZy45Oez6Jr76NWb+Tn7IsP6dKbEzi5lJ1Qm2c
TwDDHU/KenH15ZCA5riYFh3yhtiSx5N/warIvrqsmStpaXuIKLHXnvf3okuGXbAjxyWcplkwVev+
cVlzcbIk+Otchf5kkty/qgIlLN7cNxgMMjpV6a3DpKjy1RV3jkjI1DJuCBgfx3Q680adxrlZz1CJ
KzPUaYTZTpfcaD+zwkoDKt7EpLpAcEysFWzO3GW2hFIt6cTS2kOGmmxnumY3QAiYt03Ws6RVbQVX
fxjUzJaF9pcpooLFXq/QhQJviW6jFTuXDveZmO1lT1/zJZu/yTzws11aymaO0xP2A9W7aZaeVMbM
/mmNMPTarIBW/QK6G9jW/cQCWWyEt2ZaPylN/acWFFlSFaFVaTl30t6GCfgq9Hi4SoKrK+zVgJlM
A3iIqaepbM+XnbPasTkN8w6kGlYr7Wg1zkNTBliT+6Stl4OiYVU7IgKvq6x2n/o6iSBt6TVN8Ngz
RZOHIPO17E2kKAL0r12/LJ96lXdl4nKyHVEX0TvLVHFLkXlY8unG6ElttK7PXg5bMtKe+Wx8hH74
PKzKsUy32S3EhdnqQodthL3iSnNVy00AXf7YYNcxE2mFwO1zU6NdZsR+dfLkZb6f/TxW84y0qFak
hIqRZdRGTDFhuGZjGmy2ENi9weNNSMBdC+rnCGgP8zC9OIx2dpnxuRfCbgVERUmaPt7dsMKIu5GF
8XqDNcmrhqzhqncIlNwpVGUB2TPH9bbDXNTVvOSuKmo0ngVAK8t7O0OWuKavGgyyTzH90suwulEy
PyVoEym8PkAYWSeqz8C08pQsLqnkNGd7uzpwG1lcuDdNt27RNOMbSFVkws0LEpHAqgWNpzE6urTd
eEUaZ45JbRLmMO4YdqmrQJ8VR55KX8EMLvssmUBphuSpCaTfB9t1lzMNEaK5JRufm4FZR5bKrDW+
dDOHN5F+2yPNp3Tfm1kcLW9OKlns17FZ8oeJx/yXTrLOWBuSmeXe07vB0v664BDu5sY80U7H/RZD
v5kj+rAlJwebyFA66x8tGZ7sZHAlU49YUHZHfNscOYDJFywVfdRqTjbS1slnjYZKkV6M0R1yLLto
utcl4WoTGSW5nUMQ5dJogFmhBncktu323tp9LC3IPps9iUZV4pKLpL/JaQQpYboq83r80tfeXmJJ
h69GGli12GrKBmKTmHiyukzn1m0ht0O8O5KXdVC8nEWRbEneFuWKEd7108g/61DbWyBSWtna8rts
6LMzkaI/RA4235m0018GMbgyUzNiCcbhLk0UYJP03YtRMN9ZSfS3ou/5bpl7VFIbGXSfN+gyhWjt
2Jpo9SRTWV/iaW0wgzNNTwYEeS9EZHksIVY+ONBFyOh6V6UjF2fYAbATmQJnmIcY15PIGKmdO/BV
wT3ItfhZoxUynuZpNSezekF2LM4J7fFDgDBho58JI9novhbOirvWNt29mZf0OFNqI+RBOUXTp6Ts
YyWwiRHTlM69gauub12DtuuA60jYnHsYa472iVvmc55NvCSz1WfkvDspgPPNyvnrrOcBsrWvyVZ3
IVK3JePbdiX0K1yG7CS0yu7mlbjN4qE9CdeQyD8J3geP8c+xZLWbVYnitfc8rYpYAB7qQM01EVKe
J1jLPUY+EnKk7dFkBYiogYrtoi2FZSpv2mTWm1FEZk5lAY8ygViXadGc03W4VqBOmV+wY1Pu1ZGu
rZesT4uDz2F2ieeh/RYPaje86PNTm9doYJ03nM1d+Ib5+uxVGxgFgyj7mYoKDgtkcRXJ0CRi/uw0
P/FanKe2jcwRFldpH9qKUDyVrsXyi0yaUM1r99XQaS2laPKrfmyYwmuz1UCF0qRuPr0V+TXz+tXO
/Q5TVZyML8KGD3VR9cE2D3WdJhnLFyiqOsZc1U3EM2JrXY3jAC9RpGClTVP9WUQCz2MtNz0IgAlL
LLhvguBbxLd05jvY2vbI1XTbzKTKxRyTS4iUHIBtImA4B77arRfpwrKwXDfI/RKv58KaRTXn0Uxr
hcPgKuttHmtugnbDCjPNWqD7EmfxonZcMT805Hrs6q9rDc4i5s9NB1Lwxg3k1tgk2Ux9km5incf3
tFFd1SI53E59JytQO7ufXLFuEtyofUSK5ginXjM7KXo9rgHt3JrbUmNxNeUZEHEtII5yGeHMujSm
9rpt0rSChjvO1iL9kqaRPCFaIts1bOpMJ0rTJ20Zie++NpctpTMbxTRfqpgKW0aTZbp3uNFfFU9j
8GQ15M8D12vCeJ0vHQO1XUAJpuZWDTC5WxBWXh0GNFFGfQ18pJl4OhvV6nPjG/hzRMDh3CddLHPr
IW68aS1lq4SLKGFSPI7Zyh9SOKKNnWLdwrwMsT5VegkHPbRwR1Thd3kvyN2gl/YYPBkPOBh8ly0I
7cYpHZ7J0BSgIvUovxpT+OdFqZW5vo/BOMXkGU1TnLiF5uDjJvdFOgc2EdSW0jhfxQnQY6yl54dp
lOre2xmd2zw1uxpqszIChuss+vQ2VWnczEr9g0jn175r0k2shOSxBhO8DjD+NS68KFGWTVE3wLZj
TifwOqIt3Cg0tbHkqBULIblMGtCytkNim0diwQpoE9Z1sGhYKnHUeNYmhi3oi/w+75ZkU6h0joTb
qCugwCYdVloCgWPGmoTckzC1x2LIhrLw5tNC2qehn6/WIBPWzPKlbVFzyO1wpaYhK0FYbM+y5YuL
xQ+NMZxnMFyNRfjZWJ0cZVPXt38WKv+imT2bPgxS1L/pwb8//vTJqPj9rlz+8fJNTv7jafdq3uRA
9/dOb2rn773+UD/fVMTf5c6/6ZK/atI/bv1d5Hsb+13d+2R+rIr+T53+LI7+e5//v0b6fa7vEu2P
5vj/Kd5RSv9NRf7R8f9PnX5zyff/Mvz03wAAAP//</cx:binary>
              </cx:geoCache>
            </cx:geography>
          </cx:layoutPr>
        </cx:series>
      </cx:plotAreaRegion>
    </cx:plotArea>
    <cx:legend pos="r" align="min"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96">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lumMod val="65000"/>
          <a:lumOff val="35000"/>
        </a:schemeClr>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lumMod val="65000"/>
            <a:lumOff val="35000"/>
          </a:scheme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3</xdr:col>
      <xdr:colOff>1504950</xdr:colOff>
      <xdr:row>2</xdr:row>
      <xdr:rowOff>52387</xdr:rowOff>
    </xdr:from>
    <xdr:to>
      <xdr:col>11</xdr:col>
      <xdr:colOff>552450</xdr:colOff>
      <xdr:row>17</xdr:row>
      <xdr:rowOff>128587</xdr:rowOff>
    </xdr:to>
    <xdr:graphicFrame macro="">
      <xdr:nvGraphicFramePr>
        <xdr:cNvPr id="2" name="Chart 1">
          <a:extLst>
            <a:ext uri="{FF2B5EF4-FFF2-40B4-BE49-F238E27FC236}">
              <a16:creationId xmlns:a16="http://schemas.microsoft.com/office/drawing/2014/main" id="{F6D01150-D76C-CF95-06D2-7397A17121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2</xdr:col>
      <xdr:colOff>238125</xdr:colOff>
      <xdr:row>0</xdr:row>
      <xdr:rowOff>0</xdr:rowOff>
    </xdr:from>
    <xdr:to>
      <xdr:col>6</xdr:col>
      <xdr:colOff>87751</xdr:colOff>
      <xdr:row>15</xdr:row>
      <xdr:rowOff>171450</xdr:rowOff>
    </xdr:to>
    <mc:AlternateContent xmlns:mc="http://schemas.openxmlformats.org/markup-compatibility/2006" xmlns:sle15="http://schemas.microsoft.com/office/drawing/2012/slicer">
      <mc:Choice Requires="sle15">
        <xdr:graphicFrame macro="">
          <xdr:nvGraphicFramePr>
            <xdr:cNvPr id="2" name="state">
              <a:extLst>
                <a:ext uri="{FF2B5EF4-FFF2-40B4-BE49-F238E27FC236}">
                  <a16:creationId xmlns:a16="http://schemas.microsoft.com/office/drawing/2014/main" id="{9CCBDBC1-E024-53B5-A29D-FBAF6DA158EA}"/>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1885950" y="0"/>
              <a:ext cx="2288026" cy="169545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6</xdr:col>
      <xdr:colOff>504825</xdr:colOff>
      <xdr:row>0</xdr:row>
      <xdr:rowOff>95250</xdr:rowOff>
    </xdr:from>
    <xdr:to>
      <xdr:col>12</xdr:col>
      <xdr:colOff>409575</xdr:colOff>
      <xdr:row>17</xdr:row>
      <xdr:rowOff>104775</xdr:rowOff>
    </xdr:to>
    <mc:AlternateContent xmlns:mc="http://schemas.openxmlformats.org/markup-compatibility/2006">
      <mc:Choice xmlns:cx4="http://schemas.microsoft.com/office/drawing/2016/5/10/chartex" Requires="cx4">
        <xdr:graphicFrame macro="">
          <xdr:nvGraphicFramePr>
            <xdr:cNvPr id="4" name="Chart 3">
              <a:extLst>
                <a:ext uri="{FF2B5EF4-FFF2-40B4-BE49-F238E27FC236}">
                  <a16:creationId xmlns:a16="http://schemas.microsoft.com/office/drawing/2014/main" id="{EA91F7D6-B6B2-A413-6E11-1CA1D04C4F1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591050" y="95250"/>
              <a:ext cx="3562350" cy="324802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13</xdr:col>
      <xdr:colOff>76199</xdr:colOff>
      <xdr:row>0</xdr:row>
      <xdr:rowOff>0</xdr:rowOff>
    </xdr:from>
    <xdr:to>
      <xdr:col>17</xdr:col>
      <xdr:colOff>285748</xdr:colOff>
      <xdr:row>18</xdr:row>
      <xdr:rowOff>76200</xdr:rowOff>
    </xdr:to>
    <xdr:graphicFrame macro="">
      <xdr:nvGraphicFramePr>
        <xdr:cNvPr id="5" name="Chart 4">
          <a:extLst>
            <a:ext uri="{FF2B5EF4-FFF2-40B4-BE49-F238E27FC236}">
              <a16:creationId xmlns:a16="http://schemas.microsoft.com/office/drawing/2014/main" id="{49F7C950-8FB2-67FC-C9BA-9FB249935D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28B91DC0-80C8-45CD-95E4-2D6F4E97AB19}" sourceName="state">
  <extLst>
    <x:ext xmlns:x15="http://schemas.microsoft.com/office/spreadsheetml/2010/11/main" uri="{2F2917AC-EB37-4324-AD4E-5DD8C200BD13}">
      <x15:tableSlicerCache tableId="2"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B09F645A-8336-409F-A172-60C0DA693196}" cache="Slicer_state" caption="state" columnCount="2" rowHeight="288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5150032-0159-4CA8-893D-099E996638F2}" name="Table5" displayName="Table5" ref="A1:P21" totalsRowShown="0" headerRowDxfId="28" dataDxfId="26" headerRowBorderDxfId="27" tableBorderDxfId="25" totalsRowBorderDxfId="24">
  <autoFilter ref="A1:P21" xr:uid="{F5150032-0159-4CA8-893D-099E996638F2}"/>
  <tableColumns count="16">
    <tableColumn id="1" xr3:uid="{C5CBFC98-8E7D-4C21-89E4-FAF15EA36526}" name="roll no" dataDxfId="23"/>
    <tableColumn id="2" xr3:uid="{90E1E575-36AE-4B57-9554-F810D22C4069}" name="name" dataDxfId="22"/>
    <tableColumn id="3" xr3:uid="{41CE8180-A4B3-4981-A46A-5797578CAEBC}" name="class" dataDxfId="21"/>
    <tableColumn id="4" xr3:uid="{4F43BF84-4F85-45AF-A5B7-BFD0B0B34915}" name="age" dataDxfId="20"/>
    <tableColumn id="5" xr3:uid="{723CA5DE-548C-4380-AD3E-C06E34485EB9}" name="math" dataDxfId="19"/>
    <tableColumn id="6" xr3:uid="{37F8BA1F-733A-4691-BF51-B91D7018745E}" name="science" dataDxfId="18">
      <calculatedColumnFormula>E2-5</calculatedColumnFormula>
    </tableColumn>
    <tableColumn id="7" xr3:uid="{CDC30C63-68AB-41E4-A290-A45A3E040F06}" name="marathi" dataDxfId="17">
      <calculatedColumnFormula>F2+10</calculatedColumnFormula>
    </tableColumn>
    <tableColumn id="8" xr3:uid="{BEE1DACA-0144-458E-B4DB-2E8FA27BD48F}" name="hindi" dataDxfId="16">
      <calculatedColumnFormula>G2-15</calculatedColumnFormula>
    </tableColumn>
    <tableColumn id="9" xr3:uid="{BBBCAECC-4D66-4109-B234-FD85295AFE78}" name="english" dataDxfId="15">
      <calculatedColumnFormula>E2+10</calculatedColumnFormula>
    </tableColumn>
    <tableColumn id="10" xr3:uid="{B96932F1-5DF6-40E6-82DD-186EBF3F6BDB}" name="total " dataDxfId="14">
      <calculatedColumnFormula>E2+F2+G2+H2+I2</calculatedColumnFormula>
    </tableColumn>
    <tableColumn id="11" xr3:uid="{ACBC5DBF-7793-4B03-BAEE-DA459C59102B}" name="percentage" dataDxfId="13">
      <calculatedColumnFormula>J2/5</calculatedColumnFormula>
    </tableColumn>
    <tableColumn id="12" xr3:uid="{86B97156-9599-4332-9136-4948BFDC7CA4}" name="max mark" dataDxfId="12">
      <calculatedColumnFormula>MAX(E2:I2)</calculatedColumnFormula>
    </tableColumn>
    <tableColumn id="13" xr3:uid="{59256C59-67E2-4019-929E-7A2B13AA2E2D}" name="min mark" dataDxfId="11">
      <calculatedColumnFormula>MIN(E2:I2)</calculatedColumnFormula>
    </tableColumn>
    <tableColumn id="14" xr3:uid="{87E2380E-FA60-4C28-B452-18BA6BEEB07B}" name="grade" dataDxfId="10">
      <calculatedColumnFormula>IF(K2&gt;=75,"A grade",IF(K2&gt;=60,"B grade",IF(K2&gt;=50,"C grade","Fail")))</calculatedColumnFormula>
    </tableColumn>
    <tableColumn id="15" xr3:uid="{AC83FF28-CE7B-48BB-BB92-5021D9540420}" name="pass/fail" dataDxfId="9">
      <calculatedColumnFormula>IF(K2&gt;=35,"pass","fail")</calculatedColumnFormula>
    </tableColumn>
    <tableColumn id="16" xr3:uid="{D4F53D51-E319-4A77-BCBF-62DC45AD5BB4}" name="rank" dataDxfId="8">
      <calculatedColumnFormula>RANK(K2,$K$2:$K$20,0)</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9B4D063-B7D8-4E47-8C86-D164EA8A7EDA}" name="Table6" displayName="Table6" ref="A1:E5" totalsRowShown="0">
  <autoFilter ref="A1:E5" xr:uid="{C9B4D063-B7D8-4E47-8C86-D164EA8A7EDA}"/>
  <tableColumns count="5">
    <tableColumn id="1" xr3:uid="{49C51BA5-B62E-40F7-85F4-4331E95A2AC7}" name="Timeline" dataDxfId="29"/>
    <tableColumn id="2" xr3:uid="{B8340230-C8E7-4489-9FB7-8C38F220FDCA}" name="Values"/>
    <tableColumn id="3" xr3:uid="{CA2197FD-54B9-44BE-ABAB-9BCC80299CC5}" name="Forecast"/>
    <tableColumn id="4" xr3:uid="{BE0ED526-ABE0-4DA3-B130-5A3417BAF8EE}" name="Lower Confidence Bound"/>
    <tableColumn id="5" xr3:uid="{6F90FA9C-79B9-4964-B299-CAEBB276AB66}" name="Upper Confidence Boun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AA5265-49D3-4EB4-80BD-70DACE080A45}" name="Table2" displayName="Table2" ref="A1:B9" totalsRowShown="0" headerRowDxfId="7" headerRowBorderDxfId="6" tableBorderDxfId="5" totalsRowBorderDxfId="4">
  <autoFilter ref="A1:B9" xr:uid="{C6AA5265-49D3-4EB4-80BD-70DACE080A45}">
    <filterColumn colId="0">
      <filters>
        <filter val="punjab"/>
      </filters>
    </filterColumn>
  </autoFilter>
  <tableColumns count="2">
    <tableColumn id="1" xr3:uid="{553CBF5C-1418-431F-8EFC-CA566146E442}" name="state" dataDxfId="3"/>
    <tableColumn id="2" xr3:uid="{A28E1ABC-9C4A-497C-9AAC-60EF532B1514}" name="population"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hyperlink" Target="mailto:ki.1002@gmail.com" TargetMode="External"/><Relationship Id="rId2" Type="http://schemas.openxmlformats.org/officeDocument/2006/relationships/hyperlink" Target="mailto:su.1001@gmail.com" TargetMode="External"/><Relationship Id="rId1" Type="http://schemas.openxmlformats.org/officeDocument/2006/relationships/hyperlink" Target="mailto:am.1000@gmail.com" TargetMode="External"/><Relationship Id="rId4" Type="http://schemas.openxmlformats.org/officeDocument/2006/relationships/hyperlink" Target="mailto:aj.1003@gmail.com" TargetMode="Externa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3.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8D599-A7FE-4CC9-A11D-3F1A2140DD8C}">
  <dimension ref="A1:F11"/>
  <sheetViews>
    <sheetView workbookViewId="0">
      <selection activeCell="H5" sqref="H5"/>
    </sheetView>
  </sheetViews>
  <sheetFormatPr defaultRowHeight="15" x14ac:dyDescent="0.25"/>
  <cols>
    <col min="6" max="6" width="12.140625" bestFit="1" customWidth="1"/>
  </cols>
  <sheetData>
    <row r="1" spans="1:6" x14ac:dyDescent="0.25">
      <c r="A1" s="3" t="s">
        <v>0</v>
      </c>
      <c r="B1" s="3" t="s">
        <v>1</v>
      </c>
      <c r="C1" s="3" t="s">
        <v>12</v>
      </c>
      <c r="D1" s="3" t="s">
        <v>13</v>
      </c>
      <c r="E1" s="3" t="s">
        <v>14</v>
      </c>
    </row>
    <row r="2" spans="1:6" x14ac:dyDescent="0.25">
      <c r="A2" s="2">
        <v>1</v>
      </c>
      <c r="B2" s="2" t="s">
        <v>2</v>
      </c>
      <c r="C2" s="2">
        <v>54414</v>
      </c>
      <c r="D2" s="2">
        <f>C2*5%</f>
        <v>2720.7000000000003</v>
      </c>
      <c r="E2" s="2">
        <f>C2+D2</f>
        <v>57134.7</v>
      </c>
      <c r="F2" s="1"/>
    </row>
    <row r="3" spans="1:6" x14ac:dyDescent="0.25">
      <c r="A3" s="2">
        <v>2</v>
      </c>
      <c r="B3" s="2" t="s">
        <v>3</v>
      </c>
      <c r="C3" s="2">
        <v>56821</v>
      </c>
      <c r="D3" s="2">
        <f t="shared" ref="D3:D11" si="0">C3*5%</f>
        <v>2841.05</v>
      </c>
      <c r="E3" s="2">
        <f t="shared" ref="E3:E11" si="1">C3+D3</f>
        <v>59662.05</v>
      </c>
    </row>
    <row r="4" spans="1:6" x14ac:dyDescent="0.25">
      <c r="A4" s="2">
        <v>3</v>
      </c>
      <c r="B4" s="2" t="s">
        <v>4</v>
      </c>
      <c r="C4" s="2">
        <v>54585</v>
      </c>
      <c r="D4" s="2">
        <f t="shared" si="0"/>
        <v>2729.25</v>
      </c>
      <c r="E4" s="2">
        <f t="shared" si="1"/>
        <v>57314.25</v>
      </c>
    </row>
    <row r="5" spans="1:6" x14ac:dyDescent="0.25">
      <c r="A5" s="2">
        <v>4</v>
      </c>
      <c r="B5" s="2" t="s">
        <v>5</v>
      </c>
      <c r="C5" s="2">
        <v>24551</v>
      </c>
      <c r="D5" s="2">
        <f t="shared" si="0"/>
        <v>1227.55</v>
      </c>
      <c r="E5" s="2">
        <f t="shared" si="1"/>
        <v>25778.55</v>
      </c>
    </row>
    <row r="6" spans="1:6" x14ac:dyDescent="0.25">
      <c r="A6" s="2">
        <v>5</v>
      </c>
      <c r="B6" s="2" t="s">
        <v>6</v>
      </c>
      <c r="C6" s="2">
        <v>55521</v>
      </c>
      <c r="D6" s="2">
        <f t="shared" si="0"/>
        <v>2776.05</v>
      </c>
      <c r="E6" s="2">
        <f t="shared" si="1"/>
        <v>58297.05</v>
      </c>
    </row>
    <row r="7" spans="1:6" x14ac:dyDescent="0.25">
      <c r="A7" s="2">
        <v>6</v>
      </c>
      <c r="B7" s="2" t="s">
        <v>7</v>
      </c>
      <c r="C7" s="2">
        <v>24562</v>
      </c>
      <c r="D7" s="2">
        <f t="shared" si="0"/>
        <v>1228.1000000000001</v>
      </c>
      <c r="E7" s="2">
        <f t="shared" si="1"/>
        <v>25790.1</v>
      </c>
    </row>
    <row r="8" spans="1:6" x14ac:dyDescent="0.25">
      <c r="A8" s="2">
        <v>7</v>
      </c>
      <c r="B8" s="2" t="s">
        <v>8</v>
      </c>
      <c r="C8" s="2">
        <v>25456</v>
      </c>
      <c r="D8" s="2">
        <f t="shared" si="0"/>
        <v>1272.8000000000002</v>
      </c>
      <c r="E8" s="2">
        <f t="shared" si="1"/>
        <v>26728.799999999999</v>
      </c>
    </row>
    <row r="9" spans="1:6" x14ac:dyDescent="0.25">
      <c r="A9" s="2">
        <v>8</v>
      </c>
      <c r="B9" s="2" t="s">
        <v>9</v>
      </c>
      <c r="C9" s="2">
        <v>24565</v>
      </c>
      <c r="D9" s="2">
        <f t="shared" si="0"/>
        <v>1228.25</v>
      </c>
      <c r="E9" s="2">
        <f t="shared" si="1"/>
        <v>25793.25</v>
      </c>
    </row>
    <row r="10" spans="1:6" x14ac:dyDescent="0.25">
      <c r="A10" s="2">
        <v>9</v>
      </c>
      <c r="B10" s="2" t="s">
        <v>10</v>
      </c>
      <c r="C10" s="2">
        <v>47895</v>
      </c>
      <c r="D10" s="2">
        <f t="shared" si="0"/>
        <v>2394.75</v>
      </c>
      <c r="E10" s="2">
        <f t="shared" si="1"/>
        <v>50289.75</v>
      </c>
    </row>
    <row r="11" spans="1:6" x14ac:dyDescent="0.25">
      <c r="A11" s="2">
        <v>10</v>
      </c>
      <c r="B11" s="2" t="s">
        <v>11</v>
      </c>
      <c r="C11" s="2">
        <v>56258</v>
      </c>
      <c r="D11" s="2">
        <f t="shared" si="0"/>
        <v>2812.9</v>
      </c>
      <c r="E11" s="2">
        <f t="shared" si="1"/>
        <v>59070.9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8C223-A399-48A7-9A7C-C931DEEAE206}">
  <dimension ref="A1:P21"/>
  <sheetViews>
    <sheetView showGridLines="0" topLeftCell="C1" zoomScaleNormal="100" workbookViewId="0">
      <pane ySplit="1" topLeftCell="A5" activePane="bottomLeft" state="frozen"/>
      <selection activeCell="D1" sqref="D1"/>
      <selection pane="bottomLeft" activeCell="K2" sqref="K2"/>
    </sheetView>
  </sheetViews>
  <sheetFormatPr defaultRowHeight="15" x14ac:dyDescent="0.25"/>
  <cols>
    <col min="1" max="1" width="13.140625" customWidth="1"/>
    <col min="2" max="2" width="12.140625" customWidth="1"/>
    <col min="3" max="3" width="12.7109375" customWidth="1"/>
    <col min="4" max="4" width="10.42578125" customWidth="1"/>
    <col min="5" max="5" width="11.5703125" customWidth="1"/>
    <col min="6" max="6" width="13.7109375" customWidth="1"/>
    <col min="7" max="7" width="14.42578125" customWidth="1"/>
    <col min="8" max="8" width="12.28515625" customWidth="1"/>
    <col min="9" max="9" width="13.42578125" customWidth="1"/>
    <col min="11" max="11" width="12.85546875" customWidth="1"/>
    <col min="12" max="12" width="11.85546875" customWidth="1"/>
    <col min="13" max="13" width="11.5703125" customWidth="1"/>
    <col min="15" max="15" width="11" customWidth="1"/>
  </cols>
  <sheetData>
    <row r="1" spans="1:16" x14ac:dyDescent="0.25">
      <c r="A1" s="16" t="s">
        <v>15</v>
      </c>
      <c r="B1" s="17" t="s">
        <v>1</v>
      </c>
      <c r="C1" s="17" t="s">
        <v>16</v>
      </c>
      <c r="D1" s="17" t="s">
        <v>17</v>
      </c>
      <c r="E1" s="17" t="s">
        <v>18</v>
      </c>
      <c r="F1" s="17" t="s">
        <v>19</v>
      </c>
      <c r="G1" s="17" t="s">
        <v>20</v>
      </c>
      <c r="H1" s="17" t="s">
        <v>21</v>
      </c>
      <c r="I1" s="17" t="s">
        <v>22</v>
      </c>
      <c r="J1" s="17" t="s">
        <v>23</v>
      </c>
      <c r="K1" s="17" t="s">
        <v>24</v>
      </c>
      <c r="L1" s="17" t="s">
        <v>45</v>
      </c>
      <c r="M1" s="17" t="s">
        <v>46</v>
      </c>
      <c r="N1" s="17" t="s">
        <v>44</v>
      </c>
      <c r="O1" s="17" t="s">
        <v>47</v>
      </c>
      <c r="P1" s="18" t="s">
        <v>48</v>
      </c>
    </row>
    <row r="2" spans="1:16" x14ac:dyDescent="0.25">
      <c r="A2" s="8">
        <v>1</v>
      </c>
      <c r="B2" s="2" t="s">
        <v>25</v>
      </c>
      <c r="C2" s="2">
        <v>10</v>
      </c>
      <c r="D2" s="2">
        <v>16</v>
      </c>
      <c r="E2" s="2">
        <v>65</v>
      </c>
      <c r="F2" s="2">
        <f>E2-5</f>
        <v>60</v>
      </c>
      <c r="G2" s="2">
        <f>F2+10</f>
        <v>70</v>
      </c>
      <c r="H2" s="2">
        <f>G2-15</f>
        <v>55</v>
      </c>
      <c r="I2" s="2">
        <f>E2+10</f>
        <v>75</v>
      </c>
      <c r="J2" s="2">
        <f>E2+F2+G2+H2+I2</f>
        <v>325</v>
      </c>
      <c r="K2" s="23">
        <f>J2/5</f>
        <v>65</v>
      </c>
      <c r="L2" s="2">
        <f>MAX(E2:I2)</f>
        <v>75</v>
      </c>
      <c r="M2" s="2">
        <f>MIN(E2:I2)</f>
        <v>55</v>
      </c>
      <c r="N2" s="2" t="str">
        <f>IF(K2&gt;=75,"A grade",IF(K2&gt;=60,"B grade",IF(K2&gt;=50,"C grade","Fail")))</f>
        <v>B grade</v>
      </c>
      <c r="O2" s="2" t="str">
        <f>IF(K2&gt;=35,"pass","fail")</f>
        <v>pass</v>
      </c>
      <c r="P2" s="9">
        <f t="shared" ref="P2:P21" si="0">RANK(K2,$K$2:$K$20,0)</f>
        <v>6</v>
      </c>
    </row>
    <row r="3" spans="1:16" x14ac:dyDescent="0.25">
      <c r="A3" s="8">
        <v>2</v>
      </c>
      <c r="B3" s="2" t="s">
        <v>26</v>
      </c>
      <c r="C3" s="2">
        <v>10</v>
      </c>
      <c r="D3" s="2">
        <v>16</v>
      </c>
      <c r="E3" s="2">
        <v>35</v>
      </c>
      <c r="F3" s="2">
        <f t="shared" ref="F3:F21" si="1">E3-5</f>
        <v>30</v>
      </c>
      <c r="G3" s="2">
        <f t="shared" ref="G3:G21" si="2">F3+10</f>
        <v>40</v>
      </c>
      <c r="H3" s="2">
        <f t="shared" ref="H3:H21" si="3">G3-15</f>
        <v>25</v>
      </c>
      <c r="I3" s="2">
        <f t="shared" ref="I3:I21" si="4">E3+10</f>
        <v>45</v>
      </c>
      <c r="J3" s="2">
        <f t="shared" ref="J3:J20" si="5">E3+F3+G3+H3+I3</f>
        <v>175</v>
      </c>
      <c r="K3" s="2">
        <f t="shared" ref="K3:K21" si="6">J3/5</f>
        <v>35</v>
      </c>
      <c r="L3" s="2">
        <f t="shared" ref="L3:L21" si="7">MAX(E3:I3)</f>
        <v>45</v>
      </c>
      <c r="M3" s="2">
        <f t="shared" ref="M3:M20" si="8">MIN(E3:I3)</f>
        <v>25</v>
      </c>
      <c r="N3" s="2" t="str">
        <f t="shared" ref="N3:N21" si="9">IF(K3&gt;=75,"A grade",IF(K3&gt;=60,"B grade",IF(K3&gt;=50,"C grade","Fail")))</f>
        <v>Fail</v>
      </c>
      <c r="O3" s="2" t="str">
        <f t="shared" ref="O3:O21" si="10">IF(K3&gt;=35,"pass","fail")</f>
        <v>pass</v>
      </c>
      <c r="P3" s="9">
        <f t="shared" si="0"/>
        <v>14</v>
      </c>
    </row>
    <row r="4" spans="1:16" x14ac:dyDescent="0.25">
      <c r="A4" s="8">
        <v>3</v>
      </c>
      <c r="B4" s="2" t="s">
        <v>27</v>
      </c>
      <c r="C4" s="2">
        <v>10</v>
      </c>
      <c r="D4" s="2">
        <v>16</v>
      </c>
      <c r="E4" s="2">
        <v>58</v>
      </c>
      <c r="F4" s="2">
        <f t="shared" si="1"/>
        <v>53</v>
      </c>
      <c r="G4" s="2">
        <f t="shared" si="2"/>
        <v>63</v>
      </c>
      <c r="H4" s="2">
        <f t="shared" si="3"/>
        <v>48</v>
      </c>
      <c r="I4" s="2">
        <f t="shared" si="4"/>
        <v>68</v>
      </c>
      <c r="J4" s="2">
        <f t="shared" si="5"/>
        <v>290</v>
      </c>
      <c r="K4" s="2">
        <f t="shared" si="6"/>
        <v>58</v>
      </c>
      <c r="L4" s="2">
        <f t="shared" si="7"/>
        <v>68</v>
      </c>
      <c r="M4" s="2">
        <f t="shared" si="8"/>
        <v>48</v>
      </c>
      <c r="N4" s="2" t="str">
        <f t="shared" si="9"/>
        <v>C grade</v>
      </c>
      <c r="O4" s="2" t="str">
        <f t="shared" si="10"/>
        <v>pass</v>
      </c>
      <c r="P4" s="9">
        <f t="shared" si="0"/>
        <v>7</v>
      </c>
    </row>
    <row r="5" spans="1:16" x14ac:dyDescent="0.25">
      <c r="A5" s="8">
        <v>4</v>
      </c>
      <c r="B5" s="2" t="s">
        <v>28</v>
      </c>
      <c r="C5" s="2">
        <v>10</v>
      </c>
      <c r="D5" s="2">
        <v>16</v>
      </c>
      <c r="E5" s="2">
        <v>89</v>
      </c>
      <c r="F5" s="2">
        <f t="shared" si="1"/>
        <v>84</v>
      </c>
      <c r="G5" s="2">
        <f t="shared" si="2"/>
        <v>94</v>
      </c>
      <c r="H5" s="2">
        <f t="shared" si="3"/>
        <v>79</v>
      </c>
      <c r="I5" s="2">
        <f t="shared" si="4"/>
        <v>99</v>
      </c>
      <c r="J5" s="2">
        <f t="shared" si="5"/>
        <v>445</v>
      </c>
      <c r="K5" s="2">
        <f t="shared" si="6"/>
        <v>89</v>
      </c>
      <c r="L5" s="2">
        <f t="shared" si="7"/>
        <v>99</v>
      </c>
      <c r="M5" s="2">
        <f t="shared" si="8"/>
        <v>79</v>
      </c>
      <c r="N5" s="2" t="str">
        <f t="shared" si="9"/>
        <v>A grade</v>
      </c>
      <c r="O5" s="2" t="str">
        <f t="shared" si="10"/>
        <v>pass</v>
      </c>
      <c r="P5" s="9">
        <f t="shared" si="0"/>
        <v>1</v>
      </c>
    </row>
    <row r="6" spans="1:16" x14ac:dyDescent="0.25">
      <c r="A6" s="8">
        <v>5</v>
      </c>
      <c r="B6" s="2" t="s">
        <v>29</v>
      </c>
      <c r="C6" s="2">
        <v>10</v>
      </c>
      <c r="D6" s="2">
        <v>16</v>
      </c>
      <c r="E6" s="2">
        <v>24</v>
      </c>
      <c r="F6" s="2">
        <f t="shared" si="1"/>
        <v>19</v>
      </c>
      <c r="G6" s="2">
        <f t="shared" si="2"/>
        <v>29</v>
      </c>
      <c r="H6" s="2">
        <f t="shared" si="3"/>
        <v>14</v>
      </c>
      <c r="I6" s="2">
        <f t="shared" si="4"/>
        <v>34</v>
      </c>
      <c r="J6" s="2">
        <f t="shared" si="5"/>
        <v>120</v>
      </c>
      <c r="K6" s="2">
        <f t="shared" si="6"/>
        <v>24</v>
      </c>
      <c r="L6" s="2">
        <f t="shared" si="7"/>
        <v>34</v>
      </c>
      <c r="M6" s="2">
        <f t="shared" si="8"/>
        <v>14</v>
      </c>
      <c r="N6" s="2" t="str">
        <f t="shared" si="9"/>
        <v>Fail</v>
      </c>
      <c r="O6" s="2" t="str">
        <f t="shared" si="10"/>
        <v>fail</v>
      </c>
      <c r="P6" s="9">
        <f t="shared" si="0"/>
        <v>16</v>
      </c>
    </row>
    <row r="7" spans="1:16" x14ac:dyDescent="0.25">
      <c r="A7" s="8">
        <v>6</v>
      </c>
      <c r="B7" s="2" t="s">
        <v>30</v>
      </c>
      <c r="C7" s="2">
        <v>10</v>
      </c>
      <c r="D7" s="2">
        <v>16</v>
      </c>
      <c r="E7" s="2">
        <v>28</v>
      </c>
      <c r="F7" s="2">
        <f t="shared" si="1"/>
        <v>23</v>
      </c>
      <c r="G7" s="2">
        <f t="shared" si="2"/>
        <v>33</v>
      </c>
      <c r="H7" s="2">
        <f t="shared" si="3"/>
        <v>18</v>
      </c>
      <c r="I7" s="2">
        <f t="shared" si="4"/>
        <v>38</v>
      </c>
      <c r="J7" s="2">
        <f t="shared" si="5"/>
        <v>140</v>
      </c>
      <c r="K7" s="2">
        <f t="shared" si="6"/>
        <v>28</v>
      </c>
      <c r="L7" s="2">
        <f t="shared" si="7"/>
        <v>38</v>
      </c>
      <c r="M7" s="2">
        <f t="shared" si="8"/>
        <v>18</v>
      </c>
      <c r="N7" s="2" t="str">
        <f t="shared" si="9"/>
        <v>Fail</v>
      </c>
      <c r="O7" s="2" t="str">
        <f t="shared" si="10"/>
        <v>fail</v>
      </c>
      <c r="P7" s="9">
        <f t="shared" si="0"/>
        <v>15</v>
      </c>
    </row>
    <row r="8" spans="1:16" x14ac:dyDescent="0.25">
      <c r="A8" s="8">
        <v>7</v>
      </c>
      <c r="B8" s="2" t="s">
        <v>31</v>
      </c>
      <c r="C8" s="2">
        <v>10</v>
      </c>
      <c r="D8" s="2">
        <v>16</v>
      </c>
      <c r="E8" s="2">
        <v>86</v>
      </c>
      <c r="F8" s="2">
        <f t="shared" si="1"/>
        <v>81</v>
      </c>
      <c r="G8" s="2">
        <f t="shared" si="2"/>
        <v>91</v>
      </c>
      <c r="H8" s="2">
        <f t="shared" si="3"/>
        <v>76</v>
      </c>
      <c r="I8" s="2">
        <f t="shared" si="4"/>
        <v>96</v>
      </c>
      <c r="J8" s="2">
        <f t="shared" si="5"/>
        <v>430</v>
      </c>
      <c r="K8" s="2">
        <f t="shared" si="6"/>
        <v>86</v>
      </c>
      <c r="L8" s="2">
        <f t="shared" si="7"/>
        <v>96</v>
      </c>
      <c r="M8" s="2">
        <f t="shared" si="8"/>
        <v>76</v>
      </c>
      <c r="N8" s="2" t="str">
        <f t="shared" si="9"/>
        <v>A grade</v>
      </c>
      <c r="O8" s="2" t="str">
        <f t="shared" si="10"/>
        <v>pass</v>
      </c>
      <c r="P8" s="9">
        <f t="shared" si="0"/>
        <v>3</v>
      </c>
    </row>
    <row r="9" spans="1:16" x14ac:dyDescent="0.25">
      <c r="A9" s="8">
        <v>8</v>
      </c>
      <c r="B9" s="2" t="s">
        <v>32</v>
      </c>
      <c r="C9" s="2">
        <v>10</v>
      </c>
      <c r="D9" s="2">
        <v>16</v>
      </c>
      <c r="E9" s="2">
        <v>24</v>
      </c>
      <c r="F9" s="2">
        <f t="shared" si="1"/>
        <v>19</v>
      </c>
      <c r="G9" s="2">
        <f t="shared" si="2"/>
        <v>29</v>
      </c>
      <c r="H9" s="2">
        <f t="shared" si="3"/>
        <v>14</v>
      </c>
      <c r="I9" s="2">
        <f t="shared" si="4"/>
        <v>34</v>
      </c>
      <c r="J9" s="2">
        <f t="shared" si="5"/>
        <v>120</v>
      </c>
      <c r="K9" s="2">
        <f t="shared" si="6"/>
        <v>24</v>
      </c>
      <c r="L9" s="2">
        <f t="shared" si="7"/>
        <v>34</v>
      </c>
      <c r="M9" s="2">
        <f t="shared" si="8"/>
        <v>14</v>
      </c>
      <c r="N9" s="2" t="str">
        <f t="shared" si="9"/>
        <v>Fail</v>
      </c>
      <c r="O9" s="2" t="str">
        <f t="shared" si="10"/>
        <v>fail</v>
      </c>
      <c r="P9" s="9">
        <f t="shared" si="0"/>
        <v>16</v>
      </c>
    </row>
    <row r="10" spans="1:16" x14ac:dyDescent="0.25">
      <c r="A10" s="8">
        <v>9</v>
      </c>
      <c r="B10" s="2" t="s">
        <v>33</v>
      </c>
      <c r="C10" s="2">
        <v>10</v>
      </c>
      <c r="D10" s="2">
        <v>16</v>
      </c>
      <c r="E10" s="2">
        <v>84</v>
      </c>
      <c r="F10" s="2">
        <f t="shared" si="1"/>
        <v>79</v>
      </c>
      <c r="G10" s="2">
        <f t="shared" si="2"/>
        <v>89</v>
      </c>
      <c r="H10" s="2">
        <f t="shared" si="3"/>
        <v>74</v>
      </c>
      <c r="I10" s="2">
        <f t="shared" si="4"/>
        <v>94</v>
      </c>
      <c r="J10" s="2">
        <f t="shared" si="5"/>
        <v>420</v>
      </c>
      <c r="K10" s="2">
        <f t="shared" si="6"/>
        <v>84</v>
      </c>
      <c r="L10" s="2">
        <f t="shared" si="7"/>
        <v>94</v>
      </c>
      <c r="M10" s="2">
        <f t="shared" si="8"/>
        <v>74</v>
      </c>
      <c r="N10" s="2" t="str">
        <f t="shared" si="9"/>
        <v>A grade</v>
      </c>
      <c r="O10" s="2" t="str">
        <f t="shared" si="10"/>
        <v>pass</v>
      </c>
      <c r="P10" s="9">
        <f t="shared" si="0"/>
        <v>4</v>
      </c>
    </row>
    <row r="11" spans="1:16" x14ac:dyDescent="0.25">
      <c r="A11" s="8">
        <v>10</v>
      </c>
      <c r="B11" s="2" t="s">
        <v>34</v>
      </c>
      <c r="C11" s="2">
        <v>10</v>
      </c>
      <c r="D11" s="2">
        <v>16</v>
      </c>
      <c r="E11" s="2">
        <v>24</v>
      </c>
      <c r="F11" s="2">
        <f t="shared" si="1"/>
        <v>19</v>
      </c>
      <c r="G11" s="2">
        <f t="shared" si="2"/>
        <v>29</v>
      </c>
      <c r="H11" s="2">
        <f t="shared" si="3"/>
        <v>14</v>
      </c>
      <c r="I11" s="2">
        <f t="shared" si="4"/>
        <v>34</v>
      </c>
      <c r="J11" s="2">
        <f t="shared" si="5"/>
        <v>120</v>
      </c>
      <c r="K11" s="2">
        <f t="shared" si="6"/>
        <v>24</v>
      </c>
      <c r="L11" s="2">
        <f t="shared" si="7"/>
        <v>34</v>
      </c>
      <c r="M11" s="2">
        <f t="shared" si="8"/>
        <v>14</v>
      </c>
      <c r="N11" s="2" t="str">
        <f t="shared" si="9"/>
        <v>Fail</v>
      </c>
      <c r="O11" s="2" t="str">
        <f t="shared" si="10"/>
        <v>fail</v>
      </c>
      <c r="P11" s="9">
        <f t="shared" si="0"/>
        <v>16</v>
      </c>
    </row>
    <row r="12" spans="1:16" x14ac:dyDescent="0.25">
      <c r="A12" s="8">
        <v>11</v>
      </c>
      <c r="B12" s="2" t="s">
        <v>35</v>
      </c>
      <c r="C12" s="2">
        <v>10</v>
      </c>
      <c r="D12" s="2">
        <v>16</v>
      </c>
      <c r="E12" s="2">
        <v>88</v>
      </c>
      <c r="F12" s="2">
        <f t="shared" si="1"/>
        <v>83</v>
      </c>
      <c r="G12" s="2">
        <f t="shared" si="2"/>
        <v>93</v>
      </c>
      <c r="H12" s="2">
        <f t="shared" si="3"/>
        <v>78</v>
      </c>
      <c r="I12" s="2">
        <f t="shared" si="4"/>
        <v>98</v>
      </c>
      <c r="J12" s="2">
        <f t="shared" si="5"/>
        <v>440</v>
      </c>
      <c r="K12" s="2">
        <f t="shared" si="6"/>
        <v>88</v>
      </c>
      <c r="L12" s="2">
        <f t="shared" si="7"/>
        <v>98</v>
      </c>
      <c r="M12" s="2">
        <f t="shared" si="8"/>
        <v>78</v>
      </c>
      <c r="N12" s="2" t="str">
        <f t="shared" si="9"/>
        <v>A grade</v>
      </c>
      <c r="O12" s="2" t="str">
        <f t="shared" si="10"/>
        <v>pass</v>
      </c>
      <c r="P12" s="9">
        <f t="shared" si="0"/>
        <v>2</v>
      </c>
    </row>
    <row r="13" spans="1:16" x14ac:dyDescent="0.25">
      <c r="A13" s="8">
        <v>12</v>
      </c>
      <c r="B13" s="2" t="s">
        <v>2</v>
      </c>
      <c r="C13" s="2">
        <v>10</v>
      </c>
      <c r="D13" s="2">
        <v>16</v>
      </c>
      <c r="E13" s="2">
        <v>58</v>
      </c>
      <c r="F13" s="2">
        <f t="shared" si="1"/>
        <v>53</v>
      </c>
      <c r="G13" s="2">
        <f t="shared" si="2"/>
        <v>63</v>
      </c>
      <c r="H13" s="2">
        <f t="shared" si="3"/>
        <v>48</v>
      </c>
      <c r="I13" s="2">
        <f t="shared" si="4"/>
        <v>68</v>
      </c>
      <c r="J13" s="2">
        <f t="shared" si="5"/>
        <v>290</v>
      </c>
      <c r="K13" s="2">
        <f t="shared" si="6"/>
        <v>58</v>
      </c>
      <c r="L13" s="2">
        <f t="shared" si="7"/>
        <v>68</v>
      </c>
      <c r="M13" s="2">
        <f t="shared" si="8"/>
        <v>48</v>
      </c>
      <c r="N13" s="2" t="str">
        <f t="shared" si="9"/>
        <v>C grade</v>
      </c>
      <c r="O13" s="2" t="str">
        <f t="shared" si="10"/>
        <v>pass</v>
      </c>
      <c r="P13" s="9">
        <f t="shared" si="0"/>
        <v>7</v>
      </c>
    </row>
    <row r="14" spans="1:16" x14ac:dyDescent="0.25">
      <c r="A14" s="8">
        <v>13</v>
      </c>
      <c r="B14" s="2" t="s">
        <v>36</v>
      </c>
      <c r="C14" s="2">
        <v>10</v>
      </c>
      <c r="D14" s="2">
        <v>16</v>
      </c>
      <c r="E14" s="2">
        <v>56</v>
      </c>
      <c r="F14" s="2">
        <f t="shared" si="1"/>
        <v>51</v>
      </c>
      <c r="G14" s="2">
        <f t="shared" si="2"/>
        <v>61</v>
      </c>
      <c r="H14" s="2">
        <f t="shared" si="3"/>
        <v>46</v>
      </c>
      <c r="I14" s="2">
        <f t="shared" si="4"/>
        <v>66</v>
      </c>
      <c r="J14" s="2">
        <f t="shared" si="5"/>
        <v>280</v>
      </c>
      <c r="K14" s="2">
        <f t="shared" si="6"/>
        <v>56</v>
      </c>
      <c r="L14" s="2">
        <f t="shared" si="7"/>
        <v>66</v>
      </c>
      <c r="M14" s="2">
        <f t="shared" si="8"/>
        <v>46</v>
      </c>
      <c r="N14" s="2" t="str">
        <f t="shared" si="9"/>
        <v>C grade</v>
      </c>
      <c r="O14" s="2" t="str">
        <f t="shared" si="10"/>
        <v>pass</v>
      </c>
      <c r="P14" s="9">
        <f t="shared" si="0"/>
        <v>11</v>
      </c>
    </row>
    <row r="15" spans="1:16" x14ac:dyDescent="0.25">
      <c r="A15" s="8">
        <v>14</v>
      </c>
      <c r="B15" s="2" t="s">
        <v>37</v>
      </c>
      <c r="C15" s="2">
        <v>10</v>
      </c>
      <c r="D15" s="2">
        <v>16</v>
      </c>
      <c r="E15" s="2">
        <v>68</v>
      </c>
      <c r="F15" s="2">
        <f t="shared" si="1"/>
        <v>63</v>
      </c>
      <c r="G15" s="2">
        <f t="shared" si="2"/>
        <v>73</v>
      </c>
      <c r="H15" s="2">
        <f t="shared" si="3"/>
        <v>58</v>
      </c>
      <c r="I15" s="2">
        <f t="shared" si="4"/>
        <v>78</v>
      </c>
      <c r="J15" s="2">
        <f t="shared" si="5"/>
        <v>340</v>
      </c>
      <c r="K15" s="2">
        <f t="shared" si="6"/>
        <v>68</v>
      </c>
      <c r="L15" s="2">
        <f t="shared" si="7"/>
        <v>78</v>
      </c>
      <c r="M15" s="2">
        <f t="shared" si="8"/>
        <v>58</v>
      </c>
      <c r="N15" s="2" t="str">
        <f t="shared" si="9"/>
        <v>B grade</v>
      </c>
      <c r="O15" s="2" t="str">
        <f t="shared" si="10"/>
        <v>pass</v>
      </c>
      <c r="P15" s="9">
        <f t="shared" si="0"/>
        <v>5</v>
      </c>
    </row>
    <row r="16" spans="1:16" x14ac:dyDescent="0.25">
      <c r="A16" s="8">
        <v>15</v>
      </c>
      <c r="B16" s="2" t="s">
        <v>38</v>
      </c>
      <c r="C16" s="2">
        <v>10</v>
      </c>
      <c r="D16" s="2">
        <v>16</v>
      </c>
      <c r="E16" s="2">
        <v>55</v>
      </c>
      <c r="F16" s="2">
        <f t="shared" si="1"/>
        <v>50</v>
      </c>
      <c r="G16" s="2">
        <f>F16+10</f>
        <v>60</v>
      </c>
      <c r="H16" s="2">
        <f t="shared" si="3"/>
        <v>45</v>
      </c>
      <c r="I16" s="2">
        <f t="shared" si="4"/>
        <v>65</v>
      </c>
      <c r="J16" s="2">
        <f t="shared" si="5"/>
        <v>275</v>
      </c>
      <c r="K16" s="2">
        <f t="shared" si="6"/>
        <v>55</v>
      </c>
      <c r="L16" s="2">
        <f t="shared" si="7"/>
        <v>65</v>
      </c>
      <c r="M16" s="2">
        <f t="shared" si="8"/>
        <v>45</v>
      </c>
      <c r="N16" s="2" t="str">
        <f t="shared" si="9"/>
        <v>C grade</v>
      </c>
      <c r="O16" s="2" t="str">
        <f t="shared" si="10"/>
        <v>pass</v>
      </c>
      <c r="P16" s="9">
        <f t="shared" si="0"/>
        <v>12</v>
      </c>
    </row>
    <row r="17" spans="1:16" x14ac:dyDescent="0.25">
      <c r="A17" s="8">
        <v>16</v>
      </c>
      <c r="B17" s="2" t="s">
        <v>39</v>
      </c>
      <c r="C17" s="2">
        <v>10</v>
      </c>
      <c r="D17" s="2">
        <v>16</v>
      </c>
      <c r="E17" s="2">
        <v>24</v>
      </c>
      <c r="F17" s="2">
        <f t="shared" si="1"/>
        <v>19</v>
      </c>
      <c r="G17" s="2">
        <f t="shared" si="2"/>
        <v>29</v>
      </c>
      <c r="H17" s="2">
        <f t="shared" si="3"/>
        <v>14</v>
      </c>
      <c r="I17" s="2">
        <f t="shared" si="4"/>
        <v>34</v>
      </c>
      <c r="J17" s="2">
        <f t="shared" si="5"/>
        <v>120</v>
      </c>
      <c r="K17" s="2">
        <f t="shared" si="6"/>
        <v>24</v>
      </c>
      <c r="L17" s="2">
        <f t="shared" si="7"/>
        <v>34</v>
      </c>
      <c r="M17" s="2">
        <f t="shared" si="8"/>
        <v>14</v>
      </c>
      <c r="N17" s="2" t="str">
        <f t="shared" si="9"/>
        <v>Fail</v>
      </c>
      <c r="O17" s="2" t="str">
        <f t="shared" si="10"/>
        <v>fail</v>
      </c>
      <c r="P17" s="9">
        <f t="shared" si="0"/>
        <v>16</v>
      </c>
    </row>
    <row r="18" spans="1:16" x14ac:dyDescent="0.25">
      <c r="A18" s="8">
        <v>17</v>
      </c>
      <c r="B18" s="2" t="s">
        <v>40</v>
      </c>
      <c r="C18" s="2">
        <v>10</v>
      </c>
      <c r="D18" s="2">
        <v>16</v>
      </c>
      <c r="E18" s="2">
        <v>58</v>
      </c>
      <c r="F18" s="2">
        <f t="shared" si="1"/>
        <v>53</v>
      </c>
      <c r="G18" s="2">
        <f t="shared" si="2"/>
        <v>63</v>
      </c>
      <c r="H18" s="2">
        <f t="shared" si="3"/>
        <v>48</v>
      </c>
      <c r="I18" s="2">
        <f t="shared" si="4"/>
        <v>68</v>
      </c>
      <c r="J18" s="2">
        <f t="shared" si="5"/>
        <v>290</v>
      </c>
      <c r="K18" s="2">
        <f t="shared" si="6"/>
        <v>58</v>
      </c>
      <c r="L18" s="2">
        <f t="shared" si="7"/>
        <v>68</v>
      </c>
      <c r="M18" s="2">
        <f t="shared" si="8"/>
        <v>48</v>
      </c>
      <c r="N18" s="2" t="str">
        <f t="shared" si="9"/>
        <v>C grade</v>
      </c>
      <c r="O18" s="2" t="str">
        <f t="shared" si="10"/>
        <v>pass</v>
      </c>
      <c r="P18" s="9">
        <f t="shared" si="0"/>
        <v>7</v>
      </c>
    </row>
    <row r="19" spans="1:16" x14ac:dyDescent="0.25">
      <c r="A19" s="8">
        <v>18</v>
      </c>
      <c r="B19" s="2" t="s">
        <v>41</v>
      </c>
      <c r="C19" s="2">
        <v>10</v>
      </c>
      <c r="D19" s="2">
        <v>16</v>
      </c>
      <c r="E19" s="2">
        <v>54</v>
      </c>
      <c r="F19" s="2">
        <f>E19-5</f>
        <v>49</v>
      </c>
      <c r="G19" s="2">
        <f t="shared" si="2"/>
        <v>59</v>
      </c>
      <c r="H19" s="2">
        <f t="shared" si="3"/>
        <v>44</v>
      </c>
      <c r="I19" s="2">
        <f t="shared" si="4"/>
        <v>64</v>
      </c>
      <c r="J19" s="2">
        <f t="shared" si="5"/>
        <v>270</v>
      </c>
      <c r="K19" s="2">
        <f t="shared" si="6"/>
        <v>54</v>
      </c>
      <c r="L19" s="2">
        <f t="shared" si="7"/>
        <v>64</v>
      </c>
      <c r="M19" s="2">
        <f t="shared" si="8"/>
        <v>44</v>
      </c>
      <c r="N19" s="2" t="str">
        <f t="shared" si="9"/>
        <v>C grade</v>
      </c>
      <c r="O19" s="2" t="str">
        <f t="shared" si="10"/>
        <v>pass</v>
      </c>
      <c r="P19" s="9">
        <f t="shared" si="0"/>
        <v>13</v>
      </c>
    </row>
    <row r="20" spans="1:16" x14ac:dyDescent="0.25">
      <c r="A20" s="8">
        <v>19</v>
      </c>
      <c r="B20" s="2" t="s">
        <v>42</v>
      </c>
      <c r="C20" s="2">
        <v>10</v>
      </c>
      <c r="D20" s="2">
        <v>16</v>
      </c>
      <c r="E20" s="2">
        <v>58</v>
      </c>
      <c r="F20" s="2">
        <f t="shared" si="1"/>
        <v>53</v>
      </c>
      <c r="G20" s="2">
        <f t="shared" si="2"/>
        <v>63</v>
      </c>
      <c r="H20" s="2">
        <f t="shared" si="3"/>
        <v>48</v>
      </c>
      <c r="I20" s="2">
        <f t="shared" si="4"/>
        <v>68</v>
      </c>
      <c r="J20" s="2">
        <f t="shared" si="5"/>
        <v>290</v>
      </c>
      <c r="K20" s="2">
        <f>J20/5</f>
        <v>58</v>
      </c>
      <c r="L20" s="2">
        <f t="shared" si="7"/>
        <v>68</v>
      </c>
      <c r="M20" s="2">
        <f t="shared" si="8"/>
        <v>48</v>
      </c>
      <c r="N20" s="2" t="str">
        <f t="shared" si="9"/>
        <v>C grade</v>
      </c>
      <c r="O20" s="2" t="str">
        <f t="shared" si="10"/>
        <v>pass</v>
      </c>
      <c r="P20" s="9">
        <f t="shared" si="0"/>
        <v>7</v>
      </c>
    </row>
    <row r="21" spans="1:16" x14ac:dyDescent="0.25">
      <c r="A21" s="10">
        <v>20</v>
      </c>
      <c r="B21" s="11" t="s">
        <v>43</v>
      </c>
      <c r="C21" s="11">
        <v>10</v>
      </c>
      <c r="D21" s="11">
        <v>16</v>
      </c>
      <c r="E21" s="11">
        <v>87</v>
      </c>
      <c r="F21" s="11">
        <f t="shared" si="1"/>
        <v>82</v>
      </c>
      <c r="G21" s="11">
        <f t="shared" si="2"/>
        <v>92</v>
      </c>
      <c r="H21" s="11">
        <f t="shared" si="3"/>
        <v>77</v>
      </c>
      <c r="I21" s="11">
        <f t="shared" si="4"/>
        <v>97</v>
      </c>
      <c r="J21" s="11">
        <f>E21+F21+G21+H21+I21</f>
        <v>435</v>
      </c>
      <c r="K21" s="11">
        <f t="shared" si="6"/>
        <v>87</v>
      </c>
      <c r="L21" s="11">
        <f t="shared" si="7"/>
        <v>97</v>
      </c>
      <c r="M21" s="11">
        <f>MIN(E21:I21)</f>
        <v>77</v>
      </c>
      <c r="N21" s="11" t="str">
        <f t="shared" si="9"/>
        <v>A grade</v>
      </c>
      <c r="O21" s="11" t="str">
        <f t="shared" si="10"/>
        <v>pass</v>
      </c>
      <c r="P21" s="12" t="e">
        <f t="shared" si="0"/>
        <v>#N/A</v>
      </c>
    </row>
  </sheetData>
  <conditionalFormatting sqref="J2:J21">
    <cfRule type="dataBar" priority="4">
      <dataBar>
        <cfvo type="min"/>
        <cfvo type="max"/>
        <color rgb="FF008AEF"/>
      </dataBar>
      <extLst>
        <ext xmlns:x14="http://schemas.microsoft.com/office/spreadsheetml/2009/9/main" uri="{B025F937-C7B1-47D3-B67F-A62EFF666E3E}">
          <x14:id>{A58A8664-BC14-43AB-8977-5378E8CAEBCD}</x14:id>
        </ext>
      </extLst>
    </cfRule>
  </conditionalFormatting>
  <conditionalFormatting sqref="K2:K21">
    <cfRule type="iconSet" priority="1">
      <iconSet iconSet="3Symbols">
        <cfvo type="percent" val="0"/>
        <cfvo type="percent" val="33"/>
        <cfvo type="percent" val="67"/>
      </iconSet>
    </cfRule>
  </conditionalFormatting>
  <conditionalFormatting sqref="P1:P23">
    <cfRule type="top10" dxfId="1" priority="2" bottom="1" rank="10"/>
  </conditionalFormatting>
  <conditionalFormatting sqref="P2:P21">
    <cfRule type="top10" dxfId="0" priority="3" rank="10"/>
  </conditionalFormatting>
  <pageMargins left="0.7" right="0.7" top="0.75" bottom="0.75" header="0.3" footer="0.3"/>
  <pageSetup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58A8664-BC14-43AB-8977-5378E8CAEBCD}">
            <x14:dataBar minLength="0" maxLength="100" border="1" negativeBarBorderColorSameAsPositive="0">
              <x14:cfvo type="autoMin"/>
              <x14:cfvo type="autoMax"/>
              <x14:borderColor rgb="FF008AEF"/>
              <x14:negativeFillColor rgb="FFFF0000"/>
              <x14:negativeBorderColor rgb="FFFF0000"/>
              <x14:axisColor rgb="FF000000"/>
            </x14:dataBar>
          </x14:cfRule>
          <xm:sqref>J2:J21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AB862-3F45-4735-AE31-D12B2AC2B233}">
  <dimension ref="A1:E5"/>
  <sheetViews>
    <sheetView workbookViewId="0">
      <selection activeCell="D16" sqref="D16"/>
    </sheetView>
  </sheetViews>
  <sheetFormatPr defaultRowHeight="15" x14ac:dyDescent="0.25"/>
  <cols>
    <col min="1" max="1" width="11" customWidth="1"/>
    <col min="2" max="2" width="9.28515625" bestFit="1" customWidth="1"/>
    <col min="3" max="3" width="10.85546875" customWidth="1"/>
    <col min="4" max="5" width="25.7109375" customWidth="1"/>
  </cols>
  <sheetData>
    <row r="1" spans="1:5" x14ac:dyDescent="0.25">
      <c r="A1" t="s">
        <v>64</v>
      </c>
      <c r="B1" t="s">
        <v>65</v>
      </c>
      <c r="C1" t="s">
        <v>66</v>
      </c>
      <c r="D1" t="s">
        <v>67</v>
      </c>
      <c r="E1" t="s">
        <v>68</v>
      </c>
    </row>
    <row r="2" spans="1:5" x14ac:dyDescent="0.25">
      <c r="A2" s="14">
        <v>46023</v>
      </c>
      <c r="B2">
        <v>208.1</v>
      </c>
    </row>
    <row r="3" spans="1:5" x14ac:dyDescent="0.25">
      <c r="A3" s="14">
        <v>46054</v>
      </c>
      <c r="B3">
        <v>209.3</v>
      </c>
    </row>
    <row r="4" spans="1:5" x14ac:dyDescent="0.25">
      <c r="A4" s="14">
        <v>46082</v>
      </c>
      <c r="B4">
        <v>208.5</v>
      </c>
      <c r="C4">
        <v>208.5</v>
      </c>
      <c r="D4" s="15">
        <v>208.5</v>
      </c>
      <c r="E4" s="15">
        <v>208.5</v>
      </c>
    </row>
    <row r="5" spans="1:5" x14ac:dyDescent="0.25">
      <c r="A5" s="14">
        <v>46110</v>
      </c>
      <c r="C5">
        <f>_xlfn.FORECAST.ETS(A5,$B$2:$B$4,$A$2:$A$4,1,1)</f>
        <v>208.9583990000003</v>
      </c>
      <c r="D5" s="15">
        <f>C5-_xlfn.FORECAST.ETS.CONFINT(A5,$B$2:$B$4,$A$2:$A$4,0.95,1,1)</f>
        <v>207.80462484078024</v>
      </c>
      <c r="E5" s="15">
        <f>C5+_xlfn.FORECAST.ETS.CONFINT(A5,$B$2:$B$4,$A$2:$A$4,0.95,1,1)</f>
        <v>210.11217315922036</v>
      </c>
    </row>
  </sheetData>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94953-FFE3-4C8D-AE6A-122C63BE2058}">
  <dimension ref="A1:K15"/>
  <sheetViews>
    <sheetView workbookViewId="0">
      <selection activeCell="J15" sqref="J15"/>
    </sheetView>
  </sheetViews>
  <sheetFormatPr defaultRowHeight="15" x14ac:dyDescent="0.25"/>
  <cols>
    <col min="1" max="2" width="9.140625" style="4"/>
    <col min="3" max="3" width="25.5703125" style="4" customWidth="1"/>
    <col min="4" max="7" width="9.140625" style="4"/>
    <col min="8" max="8" width="13.140625" style="4" customWidth="1"/>
    <col min="9" max="9" width="9.140625" style="4"/>
    <col min="10" max="10" width="9.85546875" style="4" bestFit="1" customWidth="1"/>
    <col min="11" max="16384" width="9.140625" style="4"/>
  </cols>
  <sheetData>
    <row r="1" spans="1:11" ht="18.75" x14ac:dyDescent="0.3">
      <c r="A1" s="6" t="s">
        <v>55</v>
      </c>
      <c r="B1" s="6" t="s">
        <v>54</v>
      </c>
      <c r="C1" s="6" t="s">
        <v>53</v>
      </c>
      <c r="D1" s="7"/>
      <c r="E1" s="4" t="s">
        <v>60</v>
      </c>
      <c r="F1" s="4" t="s">
        <v>1</v>
      </c>
      <c r="G1" s="4" t="s">
        <v>61</v>
      </c>
      <c r="H1" s="4" t="s">
        <v>79</v>
      </c>
      <c r="J1" s="4" t="s">
        <v>62</v>
      </c>
      <c r="K1" s="4" t="s">
        <v>63</v>
      </c>
    </row>
    <row r="2" spans="1:11" x14ac:dyDescent="0.25">
      <c r="A2" s="2">
        <v>1000</v>
      </c>
      <c r="B2" s="2" t="s">
        <v>49</v>
      </c>
      <c r="C2" s="5" t="s">
        <v>56</v>
      </c>
      <c r="E2" s="4">
        <v>1</v>
      </c>
      <c r="F2" s="4" t="s">
        <v>2</v>
      </c>
      <c r="G2" s="4">
        <v>60</v>
      </c>
      <c r="H2" s="4" t="str">
        <f>IF(G2&gt;60,"extraordinary","average")</f>
        <v>average</v>
      </c>
      <c r="J2" s="13">
        <v>46023</v>
      </c>
      <c r="K2" s="4">
        <v>208.1</v>
      </c>
    </row>
    <row r="3" spans="1:11" x14ac:dyDescent="0.25">
      <c r="A3" s="2">
        <v>1001</v>
      </c>
      <c r="B3" s="2" t="s">
        <v>50</v>
      </c>
      <c r="C3" s="5" t="s">
        <v>57</v>
      </c>
      <c r="E3" s="4">
        <v>3</v>
      </c>
      <c r="F3" s="4" t="s">
        <v>36</v>
      </c>
      <c r="G3" s="4">
        <v>80</v>
      </c>
      <c r="H3" s="4" t="str">
        <f t="shared" ref="H3:H5" si="0">IF(G3&gt;60,"extraordinary","average")</f>
        <v>extraordinary</v>
      </c>
      <c r="J3" s="13">
        <v>46054</v>
      </c>
      <c r="K3" s="4">
        <v>208.3</v>
      </c>
    </row>
    <row r="4" spans="1:11" x14ac:dyDescent="0.25">
      <c r="A4" s="2">
        <v>1002</v>
      </c>
      <c r="B4" s="2" t="s">
        <v>51</v>
      </c>
      <c r="C4" s="5" t="s">
        <v>58</v>
      </c>
      <c r="E4" s="4">
        <v>4</v>
      </c>
      <c r="F4" s="4" t="s">
        <v>37</v>
      </c>
      <c r="G4" s="4">
        <v>51</v>
      </c>
      <c r="H4" s="4" t="str">
        <f t="shared" si="0"/>
        <v>average</v>
      </c>
      <c r="J4" s="13">
        <v>46082</v>
      </c>
      <c r="K4" s="4">
        <v>208.5</v>
      </c>
    </row>
    <row r="5" spans="1:11" x14ac:dyDescent="0.25">
      <c r="A5" s="2">
        <v>1003</v>
      </c>
      <c r="B5" s="2" t="s">
        <v>52</v>
      </c>
      <c r="C5" s="5" t="s">
        <v>59</v>
      </c>
      <c r="E5" s="4">
        <v>5</v>
      </c>
      <c r="F5" s="4" t="s">
        <v>38</v>
      </c>
      <c r="G5" s="4">
        <v>59</v>
      </c>
      <c r="H5" s="4" t="str">
        <f t="shared" si="0"/>
        <v>average</v>
      </c>
      <c r="J5" s="13">
        <v>46113</v>
      </c>
    </row>
    <row r="6" spans="1:11" x14ac:dyDescent="0.25">
      <c r="E6"/>
      <c r="F6"/>
      <c r="G6"/>
      <c r="J6" s="13">
        <v>46143</v>
      </c>
    </row>
    <row r="9" spans="1:11" x14ac:dyDescent="0.25">
      <c r="B9" s="4">
        <v>100</v>
      </c>
    </row>
    <row r="11" spans="1:11" x14ac:dyDescent="0.25">
      <c r="B11" s="4">
        <v>200</v>
      </c>
    </row>
    <row r="12" spans="1:11" x14ac:dyDescent="0.25">
      <c r="E12" s="4">
        <f>B9+B11+B13</f>
        <v>600</v>
      </c>
      <c r="G12" s="4" t="s">
        <v>61</v>
      </c>
      <c r="H12" s="4" t="s">
        <v>80</v>
      </c>
    </row>
    <row r="13" spans="1:11" x14ac:dyDescent="0.25">
      <c r="B13" s="4">
        <v>300</v>
      </c>
      <c r="G13" s="4">
        <v>70</v>
      </c>
      <c r="H13" s="4" t="e">
        <f>G13/J131</f>
        <v>#DIV/0!</v>
      </c>
    </row>
    <row r="14" spans="1:11" x14ac:dyDescent="0.25">
      <c r="G14" s="4">
        <v>60</v>
      </c>
    </row>
    <row r="15" spans="1:11" x14ac:dyDescent="0.25">
      <c r="E15" s="4">
        <f>600+100</f>
        <v>700</v>
      </c>
    </row>
  </sheetData>
  <hyperlinks>
    <hyperlink ref="C2" r:id="rId1" xr:uid="{192AD57E-0404-4B54-B137-2F347467D6E8}"/>
    <hyperlink ref="C3" r:id="rId2" xr:uid="{6E8F9312-9215-4DB2-A69B-034FD780EEDA}"/>
    <hyperlink ref="C4" r:id="rId3" xr:uid="{EDE7F99D-476A-4EBF-A4AB-05B71E2C4332}"/>
    <hyperlink ref="C5" r:id="rId4" xr:uid="{A3DC91E8-1C21-4799-9A7B-C6A02721425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5BAEB-1CFB-4118-AB7D-51B52EBDE8A5}">
  <dimension ref="A1:B9"/>
  <sheetViews>
    <sheetView workbookViewId="0">
      <pane ySplit="1" topLeftCell="A2" activePane="bottomLeft" state="frozen"/>
      <selection pane="bottomLeft" activeCell="F15" sqref="F15"/>
    </sheetView>
  </sheetViews>
  <sheetFormatPr defaultRowHeight="15" x14ac:dyDescent="0.25"/>
  <cols>
    <col min="1" max="1" width="11.85546875" customWidth="1"/>
    <col min="2" max="2" width="12.85546875" customWidth="1"/>
  </cols>
  <sheetData>
    <row r="1" spans="1:2" x14ac:dyDescent="0.25">
      <c r="A1" s="20" t="s">
        <v>69</v>
      </c>
      <c r="B1" s="21" t="s">
        <v>78</v>
      </c>
    </row>
    <row r="2" spans="1:2" hidden="1" x14ac:dyDescent="0.25">
      <c r="A2" s="22" t="s">
        <v>70</v>
      </c>
      <c r="B2" s="9">
        <v>800000</v>
      </c>
    </row>
    <row r="3" spans="1:2" hidden="1" x14ac:dyDescent="0.25">
      <c r="A3" s="22" t="s">
        <v>71</v>
      </c>
      <c r="B3" s="9">
        <v>410000</v>
      </c>
    </row>
    <row r="4" spans="1:2" x14ac:dyDescent="0.25">
      <c r="A4" s="22" t="s">
        <v>72</v>
      </c>
      <c r="B4" s="9">
        <v>750000</v>
      </c>
    </row>
    <row r="5" spans="1:2" hidden="1" x14ac:dyDescent="0.25">
      <c r="A5" s="22" t="s">
        <v>73</v>
      </c>
      <c r="B5" s="9">
        <v>820000</v>
      </c>
    </row>
    <row r="6" spans="1:2" hidden="1" x14ac:dyDescent="0.25">
      <c r="A6" s="22" t="s">
        <v>74</v>
      </c>
      <c r="B6" s="9">
        <v>588100</v>
      </c>
    </row>
    <row r="7" spans="1:2" hidden="1" x14ac:dyDescent="0.25">
      <c r="A7" s="22" t="s">
        <v>75</v>
      </c>
      <c r="B7" s="9">
        <v>545222</v>
      </c>
    </row>
    <row r="8" spans="1:2" hidden="1" x14ac:dyDescent="0.25">
      <c r="A8" s="22" t="s">
        <v>76</v>
      </c>
      <c r="B8" s="9">
        <v>550000</v>
      </c>
    </row>
    <row r="9" spans="1:2" hidden="1" x14ac:dyDescent="0.25">
      <c r="A9" s="19" t="s">
        <v>77</v>
      </c>
      <c r="B9" s="12">
        <v>450000</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DE508-F655-476C-BEE4-DB9C4CE70159}">
  <dimension ref="A1:E6"/>
  <sheetViews>
    <sheetView workbookViewId="0">
      <selection activeCell="D8" sqref="D8"/>
    </sheetView>
  </sheetViews>
  <sheetFormatPr defaultRowHeight="15" x14ac:dyDescent="0.25"/>
  <sheetData>
    <row r="1" spans="1:5" x14ac:dyDescent="0.25">
      <c r="A1" s="24" t="s">
        <v>81</v>
      </c>
      <c r="B1" s="24" t="s">
        <v>82</v>
      </c>
      <c r="C1" s="24" t="s">
        <v>83</v>
      </c>
      <c r="D1" s="24" t="s">
        <v>84</v>
      </c>
      <c r="E1" s="24" t="s">
        <v>85</v>
      </c>
    </row>
    <row r="2" spans="1:5" x14ac:dyDescent="0.25">
      <c r="A2" s="24">
        <v>2021</v>
      </c>
      <c r="B2" s="24">
        <v>96</v>
      </c>
      <c r="C2" s="24">
        <v>100</v>
      </c>
      <c r="D2" s="24">
        <v>89</v>
      </c>
      <c r="E2" s="24">
        <v>54</v>
      </c>
    </row>
    <row r="3" spans="1:5" x14ac:dyDescent="0.25">
      <c r="A3" s="24">
        <v>2022</v>
      </c>
      <c r="B3" s="24">
        <v>53</v>
      </c>
      <c r="C3" s="24">
        <v>86</v>
      </c>
      <c r="D3" s="24">
        <v>66</v>
      </c>
      <c r="E3" s="24">
        <v>73</v>
      </c>
    </row>
    <row r="4" spans="1:5" x14ac:dyDescent="0.25">
      <c r="A4" s="24">
        <v>2023</v>
      </c>
      <c r="B4" s="24">
        <v>77</v>
      </c>
      <c r="C4" s="24">
        <v>92</v>
      </c>
      <c r="D4" s="24">
        <v>93</v>
      </c>
      <c r="E4" s="24">
        <v>64</v>
      </c>
    </row>
    <row r="5" spans="1:5" x14ac:dyDescent="0.25">
      <c r="A5" s="24">
        <v>2024</v>
      </c>
      <c r="B5" s="24">
        <v>84</v>
      </c>
      <c r="C5" s="24">
        <v>61</v>
      </c>
      <c r="D5" s="24">
        <v>81</v>
      </c>
      <c r="E5" s="24">
        <v>59</v>
      </c>
    </row>
    <row r="6" spans="1:5" x14ac:dyDescent="0.25">
      <c r="A6" s="24">
        <v>2025</v>
      </c>
      <c r="B6" s="24">
        <v>76</v>
      </c>
      <c r="C6" s="24">
        <v>76</v>
      </c>
      <c r="D6" s="24">
        <v>74</v>
      </c>
      <c r="E6" s="24">
        <v>74</v>
      </c>
    </row>
  </sheetData>
  <phoneticPr fontId="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CC145-3951-4C66-A2C2-E39A59494BFE}">
  <dimension ref="A2:E7"/>
  <sheetViews>
    <sheetView workbookViewId="0">
      <selection activeCell="C5" sqref="C5"/>
    </sheetView>
  </sheetViews>
  <sheetFormatPr defaultRowHeight="15" x14ac:dyDescent="0.25"/>
  <sheetData>
    <row r="2" spans="1:5" x14ac:dyDescent="0.25">
      <c r="A2" s="24" t="s">
        <v>81</v>
      </c>
      <c r="B2" s="24" t="s">
        <v>82</v>
      </c>
      <c r="C2" s="24" t="s">
        <v>83</v>
      </c>
      <c r="D2" s="24" t="s">
        <v>84</v>
      </c>
      <c r="E2" s="24" t="s">
        <v>85</v>
      </c>
    </row>
    <row r="3" spans="1:5" x14ac:dyDescent="0.25">
      <c r="A3" s="24">
        <v>2021</v>
      </c>
      <c r="B3" s="24">
        <v>94</v>
      </c>
      <c r="C3" s="24">
        <v>83</v>
      </c>
      <c r="D3" s="24">
        <v>70</v>
      </c>
      <c r="E3" s="24">
        <v>68</v>
      </c>
    </row>
    <row r="4" spans="1:5" x14ac:dyDescent="0.25">
      <c r="A4" s="24">
        <v>2022</v>
      </c>
      <c r="B4" s="24">
        <v>97</v>
      </c>
      <c r="C4" s="24">
        <v>98</v>
      </c>
      <c r="D4" s="24">
        <v>82</v>
      </c>
      <c r="E4" s="24">
        <v>82</v>
      </c>
    </row>
    <row r="5" spans="1:5" x14ac:dyDescent="0.25">
      <c r="A5" s="24">
        <v>2023</v>
      </c>
      <c r="B5" s="24">
        <v>65</v>
      </c>
      <c r="C5" s="24">
        <v>66</v>
      </c>
      <c r="D5" s="24">
        <v>60</v>
      </c>
      <c r="E5" s="24">
        <v>65</v>
      </c>
    </row>
    <row r="6" spans="1:5" x14ac:dyDescent="0.25">
      <c r="A6" s="24">
        <v>2024</v>
      </c>
      <c r="B6" s="24">
        <v>85</v>
      </c>
      <c r="C6" s="24">
        <v>86</v>
      </c>
      <c r="D6" s="24">
        <v>72</v>
      </c>
      <c r="E6" s="24">
        <v>75</v>
      </c>
    </row>
    <row r="7" spans="1:5" x14ac:dyDescent="0.25">
      <c r="A7" s="24">
        <v>2025</v>
      </c>
      <c r="B7" s="24">
        <v>78</v>
      </c>
      <c r="C7" s="24">
        <v>74</v>
      </c>
      <c r="D7" s="24">
        <v>72</v>
      </c>
      <c r="E7" s="24">
        <v>84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CDC6A-CBE2-4379-961A-3E4F40848BBE}">
  <dimension ref="A1:E6"/>
  <sheetViews>
    <sheetView workbookViewId="0">
      <selection activeCell="D8" sqref="D8"/>
    </sheetView>
  </sheetViews>
  <sheetFormatPr defaultRowHeight="15" x14ac:dyDescent="0.25"/>
  <sheetData>
    <row r="1" spans="1:5" x14ac:dyDescent="0.25">
      <c r="A1" s="24" t="s">
        <v>81</v>
      </c>
      <c r="B1" s="24" t="s">
        <v>82</v>
      </c>
      <c r="C1" s="24" t="s">
        <v>83</v>
      </c>
      <c r="D1" s="24" t="s">
        <v>84</v>
      </c>
      <c r="E1" s="24" t="s">
        <v>85</v>
      </c>
    </row>
    <row r="2" spans="1:5" x14ac:dyDescent="0.25">
      <c r="A2" s="24">
        <v>2021</v>
      </c>
      <c r="B2" s="24">
        <v>77</v>
      </c>
      <c r="C2" s="24">
        <v>73</v>
      </c>
      <c r="D2" s="24">
        <v>99</v>
      </c>
      <c r="E2" s="24">
        <v>71</v>
      </c>
    </row>
    <row r="3" spans="1:5" x14ac:dyDescent="0.25">
      <c r="A3" s="24">
        <v>2022</v>
      </c>
      <c r="B3" s="24">
        <v>99</v>
      </c>
      <c r="C3" s="24">
        <v>88</v>
      </c>
      <c r="D3" s="24">
        <v>63</v>
      </c>
      <c r="E3" s="24">
        <v>77</v>
      </c>
    </row>
    <row r="4" spans="1:5" x14ac:dyDescent="0.25">
      <c r="A4" s="24">
        <v>2023</v>
      </c>
      <c r="B4" s="24">
        <v>52</v>
      </c>
      <c r="C4" s="24">
        <v>69</v>
      </c>
      <c r="D4" s="24">
        <v>98</v>
      </c>
      <c r="E4" s="24">
        <v>93</v>
      </c>
    </row>
    <row r="5" spans="1:5" x14ac:dyDescent="0.25">
      <c r="A5" s="24">
        <v>2024</v>
      </c>
      <c r="B5" s="24">
        <v>69</v>
      </c>
      <c r="C5" s="24">
        <v>93</v>
      </c>
      <c r="D5" s="24">
        <v>98</v>
      </c>
      <c r="E5" s="24">
        <v>86</v>
      </c>
    </row>
    <row r="6" spans="1:5" x14ac:dyDescent="0.25">
      <c r="A6" s="24">
        <v>2025</v>
      </c>
      <c r="B6" s="24">
        <v>94</v>
      </c>
      <c r="C6" s="24">
        <v>93</v>
      </c>
      <c r="D6" s="24">
        <v>85</v>
      </c>
      <c r="E6" s="24">
        <v>75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06C24-1B82-4D73-8D73-10AB5BEFC0D3}">
  <dimension ref="A1:J21"/>
  <sheetViews>
    <sheetView tabSelected="1" workbookViewId="0">
      <selection activeCell="I13" sqref="I13:J14"/>
    </sheetView>
  </sheetViews>
  <sheetFormatPr defaultRowHeight="15" outlineLevelRow="1" x14ac:dyDescent="0.25"/>
  <cols>
    <col min="1" max="1" width="14.42578125" customWidth="1"/>
    <col min="2" max="2" width="14.28515625" customWidth="1"/>
    <col min="9" max="9" width="9.140625" customWidth="1"/>
  </cols>
  <sheetData>
    <row r="1" spans="1:10" x14ac:dyDescent="0.25">
      <c r="C1" t="s">
        <v>82</v>
      </c>
      <c r="D1" t="s">
        <v>83</v>
      </c>
      <c r="E1" t="s">
        <v>84</v>
      </c>
      <c r="F1" t="s">
        <v>85</v>
      </c>
    </row>
    <row r="2" spans="1:10" hidden="1" outlineLevel="1" x14ac:dyDescent="0.25">
      <c r="B2" t="s">
        <v>86</v>
      </c>
      <c r="C2">
        <f>Sheet6!$B$2</f>
        <v>96</v>
      </c>
      <c r="D2">
        <f>Sheet6!$C$2</f>
        <v>100</v>
      </c>
      <c r="E2">
        <f>Sheet6!$D$2</f>
        <v>89</v>
      </c>
      <c r="F2">
        <f>Sheet6!$E$2</f>
        <v>54</v>
      </c>
    </row>
    <row r="3" spans="1:10" hidden="1" outlineLevel="1" collapsed="1" x14ac:dyDescent="0.25">
      <c r="B3" t="s">
        <v>86</v>
      </c>
      <c r="C3">
        <f>Sheet7!$B$3</f>
        <v>94</v>
      </c>
      <c r="D3">
        <f>Sheet7!$C$3</f>
        <v>83</v>
      </c>
      <c r="E3">
        <f>Sheet7!$D$3</f>
        <v>70</v>
      </c>
      <c r="F3">
        <f>Sheet7!$E$3</f>
        <v>68</v>
      </c>
    </row>
    <row r="4" spans="1:10" hidden="1" outlineLevel="1" collapsed="1" x14ac:dyDescent="0.25">
      <c r="B4" t="s">
        <v>86</v>
      </c>
      <c r="C4">
        <f>Sheet8!$B$2</f>
        <v>77</v>
      </c>
      <c r="D4">
        <f>Sheet8!$C$2</f>
        <v>73</v>
      </c>
      <c r="E4">
        <f>Sheet8!$D$2</f>
        <v>99</v>
      </c>
      <c r="F4">
        <f>Sheet8!$E$2</f>
        <v>71</v>
      </c>
      <c r="I4" s="25" t="s">
        <v>87</v>
      </c>
      <c r="J4" s="25"/>
    </row>
    <row r="5" spans="1:10" collapsed="1" x14ac:dyDescent="0.25">
      <c r="A5">
        <v>2021</v>
      </c>
      <c r="C5">
        <f>SUM(C2:C4)</f>
        <v>267</v>
      </c>
      <c r="D5">
        <f>SUM(D2:D4)</f>
        <v>256</v>
      </c>
      <c r="E5">
        <f>SUM(E2:E4)</f>
        <v>258</v>
      </c>
      <c r="F5">
        <f>SUM(F2:F4)</f>
        <v>193</v>
      </c>
      <c r="I5" s="25" t="s">
        <v>88</v>
      </c>
      <c r="J5" s="25"/>
    </row>
    <row r="6" spans="1:10" hidden="1" outlineLevel="1" x14ac:dyDescent="0.25">
      <c r="B6" t="s">
        <v>86</v>
      </c>
      <c r="C6">
        <f>Sheet6!$B$3</f>
        <v>53</v>
      </c>
      <c r="D6">
        <f>Sheet6!$C$3</f>
        <v>86</v>
      </c>
      <c r="E6">
        <f>Sheet6!$D$3</f>
        <v>66</v>
      </c>
      <c r="F6">
        <f>Sheet6!$E$3</f>
        <v>73</v>
      </c>
    </row>
    <row r="7" spans="1:10" hidden="1" outlineLevel="1" collapsed="1" x14ac:dyDescent="0.25">
      <c r="B7" t="s">
        <v>86</v>
      </c>
      <c r="C7">
        <f>Sheet7!$B$4</f>
        <v>97</v>
      </c>
      <c r="D7">
        <f>Sheet7!$C$4</f>
        <v>98</v>
      </c>
      <c r="E7">
        <f>Sheet7!$D$4</f>
        <v>82</v>
      </c>
      <c r="F7">
        <f>Sheet7!$E$4</f>
        <v>82</v>
      </c>
    </row>
    <row r="8" spans="1:10" hidden="1" outlineLevel="1" collapsed="1" x14ac:dyDescent="0.25">
      <c r="B8" t="s">
        <v>86</v>
      </c>
      <c r="C8">
        <f>Sheet8!$B$3</f>
        <v>99</v>
      </c>
      <c r="D8">
        <f>Sheet8!$C$3</f>
        <v>88</v>
      </c>
      <c r="E8">
        <f>Sheet8!$D$3</f>
        <v>63</v>
      </c>
      <c r="F8">
        <f>Sheet8!$E$3</f>
        <v>77</v>
      </c>
    </row>
    <row r="9" spans="1:10" collapsed="1" x14ac:dyDescent="0.25">
      <c r="A9">
        <v>2022</v>
      </c>
      <c r="C9">
        <f>SUM(C6:C8)</f>
        <v>249</v>
      </c>
      <c r="D9">
        <f>SUM(D6:D8)</f>
        <v>272</v>
      </c>
      <c r="E9">
        <f>SUM(E6:E8)</f>
        <v>211</v>
      </c>
      <c r="F9">
        <f>SUM(F6:F8)</f>
        <v>232</v>
      </c>
    </row>
    <row r="10" spans="1:10" hidden="1" outlineLevel="1" x14ac:dyDescent="0.25">
      <c r="B10" t="s">
        <v>86</v>
      </c>
      <c r="C10">
        <f>Sheet6!$B$4</f>
        <v>77</v>
      </c>
      <c r="D10">
        <f>Sheet6!$C$4</f>
        <v>92</v>
      </c>
      <c r="E10">
        <f>Sheet6!$D$4</f>
        <v>93</v>
      </c>
      <c r="F10">
        <f>Sheet6!$E$4</f>
        <v>64</v>
      </c>
    </row>
    <row r="11" spans="1:10" hidden="1" outlineLevel="1" collapsed="1" x14ac:dyDescent="0.25">
      <c r="B11" t="s">
        <v>86</v>
      </c>
      <c r="C11">
        <f>Sheet7!$B$5</f>
        <v>65</v>
      </c>
      <c r="D11">
        <f>Sheet7!$C$5</f>
        <v>66</v>
      </c>
      <c r="E11">
        <f>Sheet7!$D$5</f>
        <v>60</v>
      </c>
      <c r="F11">
        <f>Sheet7!$E$5</f>
        <v>65</v>
      </c>
    </row>
    <row r="12" spans="1:10" hidden="1" outlineLevel="1" collapsed="1" x14ac:dyDescent="0.25">
      <c r="B12" t="s">
        <v>86</v>
      </c>
      <c r="C12">
        <f>Sheet8!$B$4</f>
        <v>52</v>
      </c>
      <c r="D12">
        <f>Sheet8!$C$4</f>
        <v>69</v>
      </c>
      <c r="E12">
        <f>Sheet8!$D$4</f>
        <v>98</v>
      </c>
      <c r="F12">
        <f>Sheet8!$E$4</f>
        <v>93</v>
      </c>
    </row>
    <row r="13" spans="1:10" collapsed="1" x14ac:dyDescent="0.25">
      <c r="A13">
        <v>2023</v>
      </c>
      <c r="C13">
        <f>SUM(C10:C12)</f>
        <v>194</v>
      </c>
      <c r="D13">
        <f>SUM(D10:D12)</f>
        <v>227</v>
      </c>
      <c r="E13">
        <f>SUM(E10:E12)</f>
        <v>251</v>
      </c>
      <c r="F13">
        <f>SUM(F10:F12)</f>
        <v>222</v>
      </c>
    </row>
    <row r="14" spans="1:10" hidden="1" outlineLevel="1" x14ac:dyDescent="0.25">
      <c r="B14" t="s">
        <v>86</v>
      </c>
      <c r="C14">
        <f>Sheet6!$B$5</f>
        <v>84</v>
      </c>
      <c r="D14">
        <f>Sheet6!$C$5</f>
        <v>61</v>
      </c>
      <c r="E14">
        <f>Sheet6!$D$5</f>
        <v>81</v>
      </c>
      <c r="F14">
        <f>Sheet6!$E$5</f>
        <v>59</v>
      </c>
    </row>
    <row r="15" spans="1:10" hidden="1" outlineLevel="1" collapsed="1" x14ac:dyDescent="0.25">
      <c r="B15" t="s">
        <v>86</v>
      </c>
      <c r="C15">
        <f>Sheet7!$B$6</f>
        <v>85</v>
      </c>
      <c r="D15">
        <f>Sheet7!$C$6</f>
        <v>86</v>
      </c>
      <c r="E15">
        <f>Sheet7!$D$6</f>
        <v>72</v>
      </c>
      <c r="F15">
        <f>Sheet7!$E$6</f>
        <v>75</v>
      </c>
    </row>
    <row r="16" spans="1:10" hidden="1" outlineLevel="1" collapsed="1" x14ac:dyDescent="0.25">
      <c r="B16" t="s">
        <v>86</v>
      </c>
      <c r="C16">
        <f>Sheet8!$B$5</f>
        <v>69</v>
      </c>
      <c r="D16">
        <f>Sheet8!$C$5</f>
        <v>93</v>
      </c>
      <c r="E16">
        <f>Sheet8!$D$5</f>
        <v>98</v>
      </c>
      <c r="F16">
        <f>Sheet8!$E$5</f>
        <v>86</v>
      </c>
    </row>
    <row r="17" spans="1:6" collapsed="1" x14ac:dyDescent="0.25">
      <c r="A17">
        <v>2024</v>
      </c>
      <c r="C17">
        <f>SUM(C14:C16)</f>
        <v>238</v>
      </c>
      <c r="D17">
        <f>SUM(D14:D16)</f>
        <v>240</v>
      </c>
      <c r="E17">
        <f>SUM(E14:E16)</f>
        <v>251</v>
      </c>
      <c r="F17">
        <f>SUM(F14:F16)</f>
        <v>220</v>
      </c>
    </row>
    <row r="18" spans="1:6" hidden="1" outlineLevel="1" x14ac:dyDescent="0.25">
      <c r="B18" t="s">
        <v>86</v>
      </c>
      <c r="C18">
        <f>Sheet6!$B$6</f>
        <v>76</v>
      </c>
      <c r="D18">
        <f>Sheet6!$C$6</f>
        <v>76</v>
      </c>
      <c r="E18">
        <f>Sheet6!$D$6</f>
        <v>74</v>
      </c>
      <c r="F18">
        <f>Sheet6!$E$6</f>
        <v>74</v>
      </c>
    </row>
    <row r="19" spans="1:6" hidden="1" outlineLevel="1" collapsed="1" x14ac:dyDescent="0.25">
      <c r="B19" t="s">
        <v>86</v>
      </c>
      <c r="C19">
        <f>Sheet7!$B$7</f>
        <v>78</v>
      </c>
      <c r="D19">
        <f>Sheet7!$C$7</f>
        <v>74</v>
      </c>
      <c r="E19">
        <f>Sheet7!$D$7</f>
        <v>72</v>
      </c>
      <c r="F19">
        <f>Sheet7!$E$7</f>
        <v>84</v>
      </c>
    </row>
    <row r="20" spans="1:6" hidden="1" outlineLevel="1" collapsed="1" x14ac:dyDescent="0.25">
      <c r="B20" t="s">
        <v>86</v>
      </c>
      <c r="C20">
        <f>Sheet8!$B$6</f>
        <v>94</v>
      </c>
      <c r="D20">
        <f>Sheet8!$C$6</f>
        <v>93</v>
      </c>
      <c r="E20">
        <f>Sheet8!$D$6</f>
        <v>85</v>
      </c>
      <c r="F20">
        <f>Sheet8!$E$6</f>
        <v>75</v>
      </c>
    </row>
    <row r="21" spans="1:6" collapsed="1" x14ac:dyDescent="0.25">
      <c r="A21">
        <v>2025</v>
      </c>
      <c r="C21">
        <f>SUM(C18:C20)</f>
        <v>248</v>
      </c>
      <c r="D21">
        <f>SUM(D18:D20)</f>
        <v>243</v>
      </c>
      <c r="E21">
        <f>SUM(E18:E20)</f>
        <v>231</v>
      </c>
      <c r="F21">
        <f>SUM(F18:F20)</f>
        <v>233</v>
      </c>
    </row>
  </sheetData>
  <dataConsolidate leftLabels="1" topLabels="1" link="1">
    <dataRefs count="3">
      <dataRef ref="A1:E6" sheet="Sheet6"/>
      <dataRef ref="A2:E7" sheet="Sheet7"/>
      <dataRef ref="A1:E6" sheet="Sheet8"/>
    </dataRefs>
  </dataConsolid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Sheet1</vt:lpstr>
      <vt:lpstr>Sheet2</vt:lpstr>
      <vt:lpstr>Sheet4</vt:lpstr>
      <vt:lpstr>Sheet3</vt:lpstr>
      <vt:lpstr>Sheet5</vt:lpstr>
      <vt:lpstr>Sheet6</vt:lpstr>
      <vt:lpstr>Sheet7</vt:lpstr>
      <vt:lpstr>Sheet8</vt:lpstr>
      <vt:lpstr>consolidation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manisha gore</dc:creator>
  <cp:lastModifiedBy>manisha gore</cp:lastModifiedBy>
  <cp:lastPrinted>2026-08-10T14:14:34Z</cp:lastPrinted>
  <dcterms:created xsi:type="dcterms:W3CDTF">2026-08-10T13:25:31Z</dcterms:created>
  <dcterms:modified xsi:type="dcterms:W3CDTF">2026-08-19T05:09:04Z</dcterms:modified>
</cp:coreProperties>
</file>