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slicers/slicer1.xml" ContentType="application/vnd.ms-excel.slicer+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d.docs.live.net/4bff1f7f1b08cbf8/Documents/excel/"/>
    </mc:Choice>
  </mc:AlternateContent>
  <xr:revisionPtr revIDLastSave="673" documentId="8_{13A36251-90CA-4812-B750-A4E5E3B4B7A1}" xr6:coauthVersionLast="47" xr6:coauthVersionMax="47" xr10:uidLastSave="{20245839-6C5B-4916-B5F4-B2363672321F}"/>
  <bookViews>
    <workbookView xWindow="-120" yWindow="-120" windowWidth="19440" windowHeight="10320" activeTab="3" xr2:uid="{8833C839-1A56-48AD-BAD5-E70EFDA34D12}"/>
  </bookViews>
  <sheets>
    <sheet name="Sheet1" sheetId="1" r:id="rId1"/>
    <sheet name="Sheet2" sheetId="2" r:id="rId2"/>
    <sheet name="Sheet4" sheetId="4" r:id="rId3"/>
    <sheet name="Sheet3" sheetId="3" r:id="rId4"/>
    <sheet name="Sheet5" sheetId="5" r:id="rId5"/>
    <sheet name="Sheet6" sheetId="6" r:id="rId6"/>
  </sheets>
  <definedNames>
    <definedName name="_xlchart.v5.0" hidden="1">Sheet5!$A$1</definedName>
    <definedName name="_xlchart.v5.1" hidden="1">Sheet5!$A$2:$A$9</definedName>
    <definedName name="_xlchart.v5.2" hidden="1">Sheet5!$B$1</definedName>
    <definedName name="_xlchart.v5.3" hidden="1">Sheet5!$B$2:$B$9</definedName>
    <definedName name="Slicer_stat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 i="3" l="1"/>
  <c r="H13" i="3"/>
  <c r="H3" i="3"/>
  <c r="H4" i="3"/>
  <c r="H5" i="3"/>
  <c r="H2" i="3"/>
  <c r="E15" i="3" l="1"/>
  <c r="E12" i="3"/>
  <c r="F2" i="2"/>
  <c r="G2" i="2" s="1"/>
  <c r="H2" i="2" s="1"/>
  <c r="I2" i="2"/>
  <c r="I3" i="2"/>
  <c r="I4" i="2"/>
  <c r="I5" i="2"/>
  <c r="I6" i="2"/>
  <c r="I7" i="2"/>
  <c r="I8" i="2"/>
  <c r="I9" i="2"/>
  <c r="I10" i="2"/>
  <c r="I11" i="2"/>
  <c r="I12" i="2"/>
  <c r="I13" i="2"/>
  <c r="I14" i="2"/>
  <c r="I15" i="2"/>
  <c r="I16" i="2"/>
  <c r="I17" i="2"/>
  <c r="I18" i="2"/>
  <c r="I19" i="2"/>
  <c r="I20" i="2"/>
  <c r="I21" i="2"/>
  <c r="F19" i="2"/>
  <c r="G19" i="2" s="1"/>
  <c r="F20" i="2"/>
  <c r="G20" i="2" s="1"/>
  <c r="F21" i="2"/>
  <c r="G21" i="2" s="1"/>
  <c r="H21" i="2" s="1"/>
  <c r="F3" i="2"/>
  <c r="G3" i="2" s="1"/>
  <c r="H3" i="2" s="1"/>
  <c r="F4" i="2"/>
  <c r="G4" i="2" s="1"/>
  <c r="F5" i="2"/>
  <c r="F6" i="2"/>
  <c r="F7" i="2"/>
  <c r="F8" i="2"/>
  <c r="F9" i="2"/>
  <c r="G9" i="2" s="1"/>
  <c r="H9" i="2" s="1"/>
  <c r="F10" i="2"/>
  <c r="F11" i="2"/>
  <c r="G11" i="2" s="1"/>
  <c r="H11" i="2" s="1"/>
  <c r="F12" i="2"/>
  <c r="G12" i="2" s="1"/>
  <c r="F13" i="2"/>
  <c r="F14" i="2"/>
  <c r="G14" i="2" s="1"/>
  <c r="H14" i="2" s="1"/>
  <c r="F15" i="2"/>
  <c r="F16" i="2"/>
  <c r="G16" i="2" s="1"/>
  <c r="H16" i="2" s="1"/>
  <c r="F17" i="2"/>
  <c r="G17" i="2" s="1"/>
  <c r="H17" i="2" s="1"/>
  <c r="F18" i="2"/>
  <c r="G18" i="2" s="1"/>
  <c r="H18" i="2" s="1"/>
  <c r="D3" i="1"/>
  <c r="E3" i="1" s="1"/>
  <c r="D4" i="1"/>
  <c r="E4" i="1" s="1"/>
  <c r="D5" i="1"/>
  <c r="E5" i="1" s="1"/>
  <c r="D6" i="1"/>
  <c r="E6" i="1" s="1"/>
  <c r="D7" i="1"/>
  <c r="E7" i="1" s="1"/>
  <c r="D8" i="1"/>
  <c r="E8" i="1" s="1"/>
  <c r="D9" i="1"/>
  <c r="E9" i="1" s="1"/>
  <c r="D10" i="1"/>
  <c r="E10" i="1" s="1"/>
  <c r="D11" i="1"/>
  <c r="E11" i="1" s="1"/>
  <c r="D2" i="1"/>
  <c r="E2" i="1" s="1"/>
  <c r="C5" i="4"/>
  <c r="M18" i="2" l="1"/>
  <c r="L17" i="2"/>
  <c r="M17" i="2"/>
  <c r="L9" i="2"/>
  <c r="L16" i="2"/>
  <c r="M3" i="2"/>
  <c r="M21" i="2"/>
  <c r="M2" i="2"/>
  <c r="J2" i="2"/>
  <c r="K2" i="2" s="1"/>
  <c r="L2" i="2"/>
  <c r="L21" i="2"/>
  <c r="L14" i="2"/>
  <c r="M16" i="2"/>
  <c r="M11" i="2"/>
  <c r="L11" i="2"/>
  <c r="L3" i="2"/>
  <c r="M9" i="2"/>
  <c r="L18" i="2"/>
  <c r="M14" i="2"/>
  <c r="J14" i="2"/>
  <c r="K14" i="2" s="1"/>
  <c r="G6" i="2"/>
  <c r="H6" i="2" s="1"/>
  <c r="H19" i="2"/>
  <c r="L19" i="2" s="1"/>
  <c r="H12" i="2"/>
  <c r="J12" i="2" s="1"/>
  <c r="K12" i="2" s="1"/>
  <c r="H4" i="2"/>
  <c r="J4" i="2" s="1"/>
  <c r="K4" i="2" s="1"/>
  <c r="H20" i="2"/>
  <c r="L20" i="2" s="1"/>
  <c r="G10" i="2"/>
  <c r="J21" i="2"/>
  <c r="K21" i="2" s="1"/>
  <c r="J17" i="2"/>
  <c r="K17" i="2" s="1"/>
  <c r="J9" i="2"/>
  <c r="K9" i="2" s="1"/>
  <c r="J3" i="2"/>
  <c r="K3" i="2" s="1"/>
  <c r="J18" i="2"/>
  <c r="K18" i="2" s="1"/>
  <c r="G8" i="2"/>
  <c r="G15" i="2"/>
  <c r="G7" i="2"/>
  <c r="J16" i="2"/>
  <c r="K16" i="2" s="1"/>
  <c r="G5" i="2"/>
  <c r="H5" i="2" s="1"/>
  <c r="J11" i="2"/>
  <c r="K11" i="2" s="1"/>
  <c r="G13" i="2"/>
  <c r="H13" i="2" s="1"/>
  <c r="D5" i="4"/>
  <c r="E5" i="4"/>
  <c r="M4" i="2" l="1"/>
  <c r="M12" i="2"/>
  <c r="L12" i="2"/>
  <c r="O2" i="2"/>
  <c r="N2" i="2"/>
  <c r="H7" i="2"/>
  <c r="M7" i="2" s="1"/>
  <c r="L7" i="2"/>
  <c r="H15" i="2"/>
  <c r="M15" i="2" s="1"/>
  <c r="L5" i="2"/>
  <c r="L4" i="2"/>
  <c r="M5" i="2"/>
  <c r="M13" i="2"/>
  <c r="L6" i="2"/>
  <c r="L13" i="2"/>
  <c r="J20" i="2"/>
  <c r="K20" i="2" s="1"/>
  <c r="M20" i="2"/>
  <c r="N17" i="2"/>
  <c r="O17" i="2"/>
  <c r="N16" i="2"/>
  <c r="O16" i="2"/>
  <c r="N14" i="2"/>
  <c r="O14" i="2"/>
  <c r="H8" i="2"/>
  <c r="L8" i="2" s="1"/>
  <c r="N4" i="2"/>
  <c r="O4" i="2"/>
  <c r="N3" i="2"/>
  <c r="O3" i="2"/>
  <c r="N12" i="2"/>
  <c r="O12" i="2"/>
  <c r="M6" i="2"/>
  <c r="N21" i="2"/>
  <c r="O21" i="2"/>
  <c r="H10" i="2"/>
  <c r="L10" i="2" s="1"/>
  <c r="N18" i="2"/>
  <c r="O18" i="2"/>
  <c r="N11" i="2"/>
  <c r="O11" i="2"/>
  <c r="N9" i="2"/>
  <c r="O9" i="2"/>
  <c r="J19" i="2"/>
  <c r="K19" i="2" s="1"/>
  <c r="M19" i="2"/>
  <c r="J6" i="2"/>
  <c r="K6" i="2" s="1"/>
  <c r="J5" i="2"/>
  <c r="K5" i="2" s="1"/>
  <c r="J13" i="2"/>
  <c r="K13" i="2" s="1"/>
  <c r="J7" i="2" l="1"/>
  <c r="K7" i="2" s="1"/>
  <c r="O7" i="2" s="1"/>
  <c r="J8" i="2"/>
  <c r="K8" i="2" s="1"/>
  <c r="N8" i="2" s="1"/>
  <c r="J15" i="2"/>
  <c r="K15" i="2" s="1"/>
  <c r="M8" i="2"/>
  <c r="L15" i="2"/>
  <c r="J10" i="2"/>
  <c r="K10" i="2" s="1"/>
  <c r="N13" i="2"/>
  <c r="O13" i="2"/>
  <c r="M10" i="2"/>
  <c r="N5" i="2"/>
  <c r="O5" i="2"/>
  <c r="N19" i="2"/>
  <c r="O19" i="2"/>
  <c r="N6" i="2"/>
  <c r="O6" i="2"/>
  <c r="N20" i="2"/>
  <c r="O20" i="2"/>
  <c r="P14" i="2" l="1"/>
  <c r="N7" i="2"/>
  <c r="P13" i="2"/>
  <c r="O8" i="2"/>
  <c r="P2" i="2"/>
  <c r="P18" i="2"/>
  <c r="O15" i="2"/>
  <c r="N15" i="2"/>
  <c r="P10" i="2"/>
  <c r="P4" i="2"/>
  <c r="P8" i="2"/>
  <c r="P17" i="2"/>
  <c r="P5" i="2"/>
  <c r="P7" i="2"/>
  <c r="P21" i="2"/>
  <c r="P12" i="2"/>
  <c r="P16" i="2"/>
  <c r="P20" i="2"/>
  <c r="P19" i="2"/>
  <c r="P6" i="2"/>
  <c r="P9" i="2"/>
  <c r="P15" i="2"/>
  <c r="P11" i="2"/>
  <c r="N10" i="2"/>
  <c r="O10" i="2"/>
  <c r="P3" i="2"/>
</calcChain>
</file>

<file path=xl/sharedStrings.xml><?xml version="1.0" encoding="utf-8"?>
<sst xmlns="http://schemas.openxmlformats.org/spreadsheetml/2006/main" count="100" uniqueCount="90">
  <si>
    <t>sr.no</t>
  </si>
  <si>
    <t>name</t>
  </si>
  <si>
    <t>ankita</t>
  </si>
  <si>
    <t>anjali</t>
  </si>
  <si>
    <t>saniya</t>
  </si>
  <si>
    <t>neha</t>
  </si>
  <si>
    <t>durga</t>
  </si>
  <si>
    <t>rani</t>
  </si>
  <si>
    <t>rupali</t>
  </si>
  <si>
    <t>sruti</t>
  </si>
  <si>
    <t>kajal</t>
  </si>
  <si>
    <t>rajni</t>
  </si>
  <si>
    <t>salary</t>
  </si>
  <si>
    <t>bonus</t>
  </si>
  <si>
    <t>total</t>
  </si>
  <si>
    <t>roll no</t>
  </si>
  <si>
    <t>class</t>
  </si>
  <si>
    <t>age</t>
  </si>
  <si>
    <t>math</t>
  </si>
  <si>
    <t>science</t>
  </si>
  <si>
    <t>marathi</t>
  </si>
  <si>
    <t>hindi</t>
  </si>
  <si>
    <t>english</t>
  </si>
  <si>
    <t xml:space="preserve">total </t>
  </si>
  <si>
    <t>percentage</t>
  </si>
  <si>
    <t>ajay</t>
  </si>
  <si>
    <t>raj</t>
  </si>
  <si>
    <t>shivani</t>
  </si>
  <si>
    <t>parth</t>
  </si>
  <si>
    <t>shivam</t>
  </si>
  <si>
    <t>shiv</t>
  </si>
  <si>
    <t>ketan</t>
  </si>
  <si>
    <t>shivraj</t>
  </si>
  <si>
    <t>seema</t>
  </si>
  <si>
    <t>chetan</t>
  </si>
  <si>
    <t>sarthak</t>
  </si>
  <si>
    <t>mahesh</t>
  </si>
  <si>
    <t>manisha</t>
  </si>
  <si>
    <t>amol</t>
  </si>
  <si>
    <t>vishal</t>
  </si>
  <si>
    <t>umesh</t>
  </si>
  <si>
    <t>ajinkya</t>
  </si>
  <si>
    <t>amruta</t>
  </si>
  <si>
    <t>aditi</t>
  </si>
  <si>
    <t>grade</t>
  </si>
  <si>
    <t>max mark</t>
  </si>
  <si>
    <t>min mark</t>
  </si>
  <si>
    <t>pass/fail</t>
  </si>
  <si>
    <t>rank</t>
  </si>
  <si>
    <t>amar</t>
  </si>
  <si>
    <t>suman</t>
  </si>
  <si>
    <t>kiran</t>
  </si>
  <si>
    <t>ajit</t>
  </si>
  <si>
    <t>Email Id</t>
  </si>
  <si>
    <t>Name</t>
  </si>
  <si>
    <t>Id</t>
  </si>
  <si>
    <t>am.1000@gmail.com</t>
  </si>
  <si>
    <t>su.1001@gmail.com</t>
  </si>
  <si>
    <t>ki.1002@gmail.com</t>
  </si>
  <si>
    <t>aj.1003@gmail.com</t>
  </si>
  <si>
    <t>id</t>
  </si>
  <si>
    <t>marks</t>
  </si>
  <si>
    <t>DATE</t>
  </si>
  <si>
    <t>price</t>
  </si>
  <si>
    <t>Timeline</t>
  </si>
  <si>
    <t>Values</t>
  </si>
  <si>
    <t>Forecast</t>
  </si>
  <si>
    <t>Lower Confidence Bound</t>
  </si>
  <si>
    <t>Upper Confidence Bound</t>
  </si>
  <si>
    <t>state</t>
  </si>
  <si>
    <t>maharashtra</t>
  </si>
  <si>
    <t>delhi</t>
  </si>
  <si>
    <t>punjab</t>
  </si>
  <si>
    <t>rajasthan</t>
  </si>
  <si>
    <t>goa</t>
  </si>
  <si>
    <t>gujrat</t>
  </si>
  <si>
    <t>up</t>
  </si>
  <si>
    <t>mp</t>
  </si>
  <si>
    <t>population</t>
  </si>
  <si>
    <t>order id</t>
  </si>
  <si>
    <t>category</t>
  </si>
  <si>
    <t>clothing</t>
  </si>
  <si>
    <t>electronics</t>
  </si>
  <si>
    <t>home care</t>
  </si>
  <si>
    <t>grocery</t>
  </si>
  <si>
    <t>personal care</t>
  </si>
  <si>
    <t>payment mode</t>
  </si>
  <si>
    <t>UPI</t>
  </si>
  <si>
    <t>remark</t>
  </si>
  <si>
    <t>dollar sign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</si>
</sst>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ptos Narrow"/>
      <family val="2"/>
      <scheme val="minor"/>
    </font>
    <font>
      <b/>
      <sz val="11"/>
      <color theme="1"/>
      <name val="Arial Rounded MT Bold"/>
      <family val="2"/>
    </font>
    <font>
      <u/>
      <sz val="11"/>
      <color theme="10"/>
      <name val="Aptos Narrow"/>
      <family val="2"/>
      <scheme val="minor"/>
    </font>
    <font>
      <b/>
      <i/>
      <sz val="14"/>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theme="7" tint="0.399975585192419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2" fillId="0" borderId="0" applyNumberFormat="0" applyFill="0" applyBorder="0" applyAlignment="0" applyProtection="0"/>
  </cellStyleXfs>
  <cellXfs count="24">
    <xf numFmtId="0" fontId="0" fillId="0" borderId="0" xfId="0"/>
    <xf numFmtId="10" fontId="0" fillId="0" borderId="0" xfId="0" applyNumberFormat="1"/>
    <xf numFmtId="0" fontId="0" fillId="0" borderId="1" xfId="0" applyBorder="1" applyAlignment="1">
      <alignment horizontal="center"/>
    </xf>
    <xf numFmtId="0" fontId="1" fillId="0" borderId="1" xfId="0" applyFont="1" applyBorder="1" applyAlignment="1">
      <alignment horizontal="center"/>
    </xf>
    <xf numFmtId="0" fontId="0" fillId="0" borderId="0" xfId="0" applyAlignment="1">
      <alignment horizontal="center"/>
    </xf>
    <xf numFmtId="0" fontId="2" fillId="0" borderId="1" xfId="1" applyBorder="1" applyAlignment="1">
      <alignment horizontal="center"/>
    </xf>
    <xf numFmtId="0" fontId="3" fillId="0" borderId="1" xfId="0" applyFont="1" applyBorder="1" applyAlignment="1">
      <alignment horizontal="center"/>
    </xf>
    <xf numFmtId="0" fontId="4" fillId="0" borderId="0" xfId="0" applyFont="1" applyAlignment="1">
      <alignment horizontal="center"/>
    </xf>
    <xf numFmtId="0" fontId="0" fillId="0" borderId="2" xfId="0" applyBorder="1" applyAlignment="1">
      <alignment horizontal="center"/>
    </xf>
    <xf numFmtId="0" fontId="0" fillId="0" borderId="3" xfId="0" applyBorder="1"/>
    <xf numFmtId="0" fontId="0" fillId="0" borderId="7" xfId="0" applyBorder="1" applyAlignment="1">
      <alignment horizontal="center"/>
    </xf>
    <xf numFmtId="0" fontId="0" fillId="0" borderId="8" xfId="0" applyBorder="1" applyAlignment="1">
      <alignment horizontal="center"/>
    </xf>
    <xf numFmtId="0" fontId="0" fillId="0" borderId="9" xfId="0" applyBorder="1"/>
    <xf numFmtId="15" fontId="0" fillId="0" borderId="0" xfId="0" applyNumberFormat="1" applyAlignment="1">
      <alignment horizontal="center"/>
    </xf>
    <xf numFmtId="15" fontId="0" fillId="0" borderId="0" xfId="0" applyNumberFormat="1"/>
    <xf numFmtId="2" fontId="0" fillId="0" borderId="0" xfId="0" applyNumberFormat="1"/>
    <xf numFmtId="0" fontId="0" fillId="2" borderId="4" xfId="0" applyFill="1" applyBorder="1" applyAlignment="1">
      <alignment horizontal="center"/>
    </xf>
    <xf numFmtId="0" fontId="0" fillId="2" borderId="5" xfId="0" applyFill="1" applyBorder="1" applyAlignment="1">
      <alignment horizontal="center"/>
    </xf>
    <xf numFmtId="0" fontId="0" fillId="2" borderId="6" xfId="0" applyFill="1" applyBorder="1"/>
    <xf numFmtId="0" fontId="0" fillId="0" borderId="7" xfId="0" applyBorder="1"/>
    <xf numFmtId="0" fontId="0" fillId="0" borderId="4" xfId="0" applyBorder="1"/>
    <xf numFmtId="0" fontId="0" fillId="0" borderId="6" xfId="0" applyBorder="1"/>
    <xf numFmtId="0" fontId="0" fillId="0" borderId="2" xfId="0" applyBorder="1"/>
    <xf numFmtId="1" fontId="0" fillId="0" borderId="1" xfId="0" applyNumberFormat="1" applyBorder="1" applyAlignment="1">
      <alignment horizontal="center"/>
    </xf>
  </cellXfs>
  <cellStyles count="2">
    <cellStyle name="Hyperlink" xfId="1" builtinId="8"/>
    <cellStyle name="Normal" xfId="0" builtinId="0"/>
  </cellStyles>
  <dxfs count="30">
    <dxf>
      <font>
        <color rgb="FF006100"/>
      </font>
      <fill>
        <patternFill>
          <bgColor rgb="FFC6EFCE"/>
        </patternFill>
      </fill>
    </dxf>
    <dxf>
      <font>
        <color rgb="FF9C0006"/>
      </font>
      <fill>
        <patternFill>
          <bgColor rgb="FFFFC7CE"/>
        </patternFill>
      </fill>
    </dxf>
    <dxf>
      <border diagonalUp="0" diagonalDown="0">
        <left style="thin">
          <color indexed="64"/>
        </left>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border diagonalUp="0" diagonalDown="0" outline="0">
        <left style="thin">
          <color indexed="64"/>
        </left>
        <right style="thin">
          <color indexed="64"/>
        </right>
        <top/>
        <bottom/>
      </border>
    </dxf>
    <dxf>
      <numFmt numFmtId="20" formatCode="dd/mmm/yy"/>
    </dxf>
    <dxf>
      <border diagonalUp="0" diagonalDown="0">
        <left style="thin">
          <color indexed="64"/>
        </left>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alignment horizontal="center" vertical="bottom" textRotation="0" wrapText="0" indent="0" justifyLastLine="0" shrinkToFit="0" readingOrder="0"/>
    </dxf>
    <dxf>
      <border outline="0">
        <bottom style="thin">
          <color indexed="64"/>
        </bottom>
      </border>
    </dxf>
    <dxf>
      <fill>
        <patternFill patternType="solid">
          <fgColor indexed="64"/>
          <bgColor theme="7" tint="0.39997558519241921"/>
        </patternFill>
      </fill>
      <alignment horizontal="center" vertical="bottom"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Sheet4!$B$1</c:f>
              <c:strCache>
                <c:ptCount val="1"/>
                <c:pt idx="0">
                  <c:v>Values</c:v>
                </c:pt>
              </c:strCache>
            </c:strRef>
          </c:tx>
          <c:spPr>
            <a:ln w="28575" cap="rnd">
              <a:solidFill>
                <a:schemeClr val="accent1"/>
              </a:solidFill>
              <a:round/>
            </a:ln>
            <a:effectLst/>
          </c:spPr>
          <c:marker>
            <c:symbol val="none"/>
          </c:marker>
          <c:val>
            <c:numRef>
              <c:f>Sheet4!$B$2:$B$5</c:f>
              <c:numCache>
                <c:formatCode>General</c:formatCode>
                <c:ptCount val="4"/>
                <c:pt idx="0">
                  <c:v>208.1</c:v>
                </c:pt>
                <c:pt idx="1">
                  <c:v>209.3</c:v>
                </c:pt>
                <c:pt idx="2">
                  <c:v>208.5</c:v>
                </c:pt>
              </c:numCache>
            </c:numRef>
          </c:val>
          <c:smooth val="0"/>
          <c:extLst>
            <c:ext xmlns:c16="http://schemas.microsoft.com/office/drawing/2014/chart" uri="{C3380CC4-5D6E-409C-BE32-E72D297353CC}">
              <c16:uniqueId val="{00000000-5662-4397-B264-F59C4A22043F}"/>
            </c:ext>
          </c:extLst>
        </c:ser>
        <c:ser>
          <c:idx val="1"/>
          <c:order val="1"/>
          <c:tx>
            <c:strRef>
              <c:f>Sheet4!$C$1</c:f>
              <c:strCache>
                <c:ptCount val="1"/>
                <c:pt idx="0">
                  <c:v>Forecast</c:v>
                </c:pt>
              </c:strCache>
            </c:strRef>
          </c:tx>
          <c:spPr>
            <a:ln w="25400" cap="rnd">
              <a:solidFill>
                <a:schemeClr val="accent2"/>
              </a:solidFill>
              <a:round/>
            </a:ln>
            <a:effectLst/>
          </c:spPr>
          <c:marker>
            <c:symbol val="none"/>
          </c:marker>
          <c:cat>
            <c:numRef>
              <c:f>Sheet4!$A$2:$A$5</c:f>
              <c:numCache>
                <c:formatCode>d\-mmm\-yy</c:formatCode>
                <c:ptCount val="4"/>
                <c:pt idx="0">
                  <c:v>46023</c:v>
                </c:pt>
                <c:pt idx="1">
                  <c:v>46054</c:v>
                </c:pt>
                <c:pt idx="2">
                  <c:v>46082</c:v>
                </c:pt>
                <c:pt idx="3">
                  <c:v>46110</c:v>
                </c:pt>
              </c:numCache>
            </c:numRef>
          </c:cat>
          <c:val>
            <c:numRef>
              <c:f>Sheet4!$C$2:$C$5</c:f>
              <c:numCache>
                <c:formatCode>General</c:formatCode>
                <c:ptCount val="4"/>
                <c:pt idx="2">
                  <c:v>208.5</c:v>
                </c:pt>
                <c:pt idx="3">
                  <c:v>208.9583990000003</c:v>
                </c:pt>
              </c:numCache>
            </c:numRef>
          </c:val>
          <c:smooth val="0"/>
          <c:extLst>
            <c:ext xmlns:c16="http://schemas.microsoft.com/office/drawing/2014/chart" uri="{C3380CC4-5D6E-409C-BE32-E72D297353CC}">
              <c16:uniqueId val="{00000001-5662-4397-B264-F59C4A22043F}"/>
            </c:ext>
          </c:extLst>
        </c:ser>
        <c:ser>
          <c:idx val="2"/>
          <c:order val="2"/>
          <c:tx>
            <c:strRef>
              <c:f>Sheet4!$D$1</c:f>
              <c:strCache>
                <c:ptCount val="1"/>
                <c:pt idx="0">
                  <c:v>Lower Confidence Bound</c:v>
                </c:pt>
              </c:strCache>
            </c:strRef>
          </c:tx>
          <c:spPr>
            <a:ln w="12700" cap="rnd">
              <a:solidFill>
                <a:srgbClr val="E97132"/>
              </a:solidFill>
              <a:prstDash val="solid"/>
              <a:round/>
            </a:ln>
            <a:effectLst/>
          </c:spPr>
          <c:marker>
            <c:symbol val="none"/>
          </c:marker>
          <c:cat>
            <c:numRef>
              <c:f>Sheet4!$A$2:$A$5</c:f>
              <c:numCache>
                <c:formatCode>d\-mmm\-yy</c:formatCode>
                <c:ptCount val="4"/>
                <c:pt idx="0">
                  <c:v>46023</c:v>
                </c:pt>
                <c:pt idx="1">
                  <c:v>46054</c:v>
                </c:pt>
                <c:pt idx="2">
                  <c:v>46082</c:v>
                </c:pt>
                <c:pt idx="3">
                  <c:v>46110</c:v>
                </c:pt>
              </c:numCache>
            </c:numRef>
          </c:cat>
          <c:val>
            <c:numRef>
              <c:f>Sheet4!$D$2:$D$5</c:f>
              <c:numCache>
                <c:formatCode>General</c:formatCode>
                <c:ptCount val="4"/>
                <c:pt idx="2" formatCode="0.00">
                  <c:v>208.5</c:v>
                </c:pt>
                <c:pt idx="3" formatCode="0.00">
                  <c:v>207.80462484078024</c:v>
                </c:pt>
              </c:numCache>
            </c:numRef>
          </c:val>
          <c:smooth val="0"/>
          <c:extLst>
            <c:ext xmlns:c16="http://schemas.microsoft.com/office/drawing/2014/chart" uri="{C3380CC4-5D6E-409C-BE32-E72D297353CC}">
              <c16:uniqueId val="{00000002-5662-4397-B264-F59C4A22043F}"/>
            </c:ext>
          </c:extLst>
        </c:ser>
        <c:ser>
          <c:idx val="3"/>
          <c:order val="3"/>
          <c:tx>
            <c:strRef>
              <c:f>Sheet4!$E$1</c:f>
              <c:strCache>
                <c:ptCount val="1"/>
                <c:pt idx="0">
                  <c:v>Upper Confidence Bound</c:v>
                </c:pt>
              </c:strCache>
            </c:strRef>
          </c:tx>
          <c:spPr>
            <a:ln w="12700" cap="rnd">
              <a:solidFill>
                <a:srgbClr val="E97132"/>
              </a:solidFill>
              <a:prstDash val="solid"/>
              <a:round/>
            </a:ln>
            <a:effectLst/>
          </c:spPr>
          <c:marker>
            <c:symbol val="none"/>
          </c:marker>
          <c:cat>
            <c:numRef>
              <c:f>Sheet4!$A$2:$A$5</c:f>
              <c:numCache>
                <c:formatCode>d\-mmm\-yy</c:formatCode>
                <c:ptCount val="4"/>
                <c:pt idx="0">
                  <c:v>46023</c:v>
                </c:pt>
                <c:pt idx="1">
                  <c:v>46054</c:v>
                </c:pt>
                <c:pt idx="2">
                  <c:v>46082</c:v>
                </c:pt>
                <c:pt idx="3">
                  <c:v>46110</c:v>
                </c:pt>
              </c:numCache>
            </c:numRef>
          </c:cat>
          <c:val>
            <c:numRef>
              <c:f>Sheet4!$E$2:$E$5</c:f>
              <c:numCache>
                <c:formatCode>General</c:formatCode>
                <c:ptCount val="4"/>
                <c:pt idx="2" formatCode="0.00">
                  <c:v>208.5</c:v>
                </c:pt>
                <c:pt idx="3" formatCode="0.00">
                  <c:v>210.11217315922036</c:v>
                </c:pt>
              </c:numCache>
            </c:numRef>
          </c:val>
          <c:smooth val="0"/>
          <c:extLst>
            <c:ext xmlns:c16="http://schemas.microsoft.com/office/drawing/2014/chart" uri="{C3380CC4-5D6E-409C-BE32-E72D297353CC}">
              <c16:uniqueId val="{00000003-5662-4397-B264-F59C4A22043F}"/>
            </c:ext>
          </c:extLst>
        </c:ser>
        <c:dLbls>
          <c:showLegendKey val="0"/>
          <c:showVal val="0"/>
          <c:showCatName val="0"/>
          <c:showSerName val="0"/>
          <c:showPercent val="0"/>
          <c:showBubbleSize val="0"/>
        </c:dLbls>
        <c:smooth val="0"/>
        <c:axId val="1821290464"/>
        <c:axId val="1785167248"/>
      </c:lineChart>
      <c:catAx>
        <c:axId val="1821290464"/>
        <c:scaling>
          <c:orientation val="minMax"/>
        </c:scaling>
        <c:delete val="0"/>
        <c:axPos val="b"/>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85167248"/>
        <c:crosses val="autoZero"/>
        <c:auto val="1"/>
        <c:lblAlgn val="ctr"/>
        <c:lblOffset val="100"/>
        <c:noMultiLvlLbl val="0"/>
      </c:catAx>
      <c:valAx>
        <c:axId val="178516724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2129046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Sheet5!$B$1</c:f>
              <c:strCache>
                <c:ptCount val="1"/>
                <c:pt idx="0">
                  <c:v>population</c:v>
                </c:pt>
              </c:strCache>
            </c:strRef>
          </c:tx>
          <c:spPr>
            <a:solidFill>
              <a:schemeClr val="accent6">
                <a:alpha val="85000"/>
              </a:schemeClr>
            </a:solidFill>
            <a:ln w="9525" cap="flat" cmpd="sng" algn="ctr">
              <a:solidFill>
                <a:schemeClr val="accent6">
                  <a:lumMod val="75000"/>
                </a:schemeClr>
              </a:solidFill>
              <a:round/>
            </a:ln>
            <a:effectLst/>
            <a:sp3d contourW="9525">
              <a:contourClr>
                <a:schemeClr val="accent6">
                  <a:lumMod val="75000"/>
                </a:schemeClr>
              </a:contourClr>
            </a:sp3d>
          </c:spPr>
          <c:invertIfNegative val="0"/>
          <c:cat>
            <c:strRef>
              <c:f>Sheet5!$A$2:$A$9</c:f>
              <c:strCache>
                <c:ptCount val="4"/>
                <c:pt idx="0">
                  <c:v>punjab</c:v>
                </c:pt>
                <c:pt idx="1">
                  <c:v>rajasthan</c:v>
                </c:pt>
                <c:pt idx="2">
                  <c:v>up</c:v>
                </c:pt>
                <c:pt idx="3">
                  <c:v>mp</c:v>
                </c:pt>
              </c:strCache>
            </c:strRef>
          </c:cat>
          <c:val>
            <c:numRef>
              <c:f>Sheet5!$B$2:$B$9</c:f>
              <c:numCache>
                <c:formatCode>General</c:formatCode>
                <c:ptCount val="4"/>
                <c:pt idx="0">
                  <c:v>750000</c:v>
                </c:pt>
                <c:pt idx="1">
                  <c:v>820000</c:v>
                </c:pt>
                <c:pt idx="2">
                  <c:v>54820000</c:v>
                </c:pt>
                <c:pt idx="3">
                  <c:v>5486555</c:v>
                </c:pt>
              </c:numCache>
            </c:numRef>
          </c:val>
          <c:extLst>
            <c:ext xmlns:c16="http://schemas.microsoft.com/office/drawing/2014/chart" uri="{C3380CC4-5D6E-409C-BE32-E72D297353CC}">
              <c16:uniqueId val="{00000000-38DB-4128-91C7-CC589EC1EFF4}"/>
            </c:ext>
          </c:extLst>
        </c:ser>
        <c:dLbls>
          <c:showLegendKey val="0"/>
          <c:showVal val="0"/>
          <c:showCatName val="0"/>
          <c:showSerName val="0"/>
          <c:showPercent val="0"/>
          <c:showBubbleSize val="0"/>
        </c:dLbls>
        <c:gapWidth val="65"/>
        <c:shape val="box"/>
        <c:axId val="776765424"/>
        <c:axId val="617834480"/>
        <c:axId val="0"/>
      </c:bar3DChart>
      <c:catAx>
        <c:axId val="776765424"/>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617834480"/>
        <c:crosses val="autoZero"/>
        <c:auto val="1"/>
        <c:lblAlgn val="ctr"/>
        <c:lblOffset val="100"/>
        <c:noMultiLvlLbl val="0"/>
      </c:catAx>
      <c:valAx>
        <c:axId val="617834480"/>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767654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1">
            <a:lumMod val="7000"/>
            <a:lumOff val="93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9525" cap="flat" cmpd="sng" algn="ctr">
      <a:solidFill>
        <a:srgbClr val="00B050"/>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title pos="t" align="ctr" overlay="0"/>
    <cx:plotArea>
      <cx:plotAreaRegion>
        <cx:plotSurface>
          <cx:spPr>
            <a:solidFill>
              <a:srgbClr val="002060"/>
            </a:solidFill>
          </cx:spPr>
        </cx:plotSurface>
        <cx:series layoutId="regionMap" uniqueId="{00000001-EF53-414A-B3A4-37F34D5CFE48}">
          <cx:tx>
            <cx:txData>
              <cx:f>_xlchart.v5.2</cx:f>
              <cx:v>population</cx:v>
            </cx:txData>
          </cx:tx>
          <cx:dataId val="0"/>
          <cx:layoutPr>
            <cx:geography cultureLanguage="en-US" cultureRegion="IN" attribution="Powered by Bing">
              <cx:geoCache provider="{E9337A44-BEBE-4D9F-B70C-5C5E7DAFC167}">
                <cx:binary>1Htbc9y2su5fSfl508GFuK1aWQ/gcEaSJUuW735hybIMEgQJkiB4+/W7FTuJPCt2dnT2ObWOKyl7
yCHQ7EZ3f/11zz9vl3/curub4aelcW34x+3yy5NyHLt//PxzuC3vmpvwtKluBx/85/HprW9+9p8/
V7d3P38abuaqNT8ThNOfb8ubYbxbnvzrn7CaufPn/vZmrHz7It4N6/VdiG4MP7j3p7d+uvnUVO2u
CuNQ3Y74lyddbO3Nxyc/3bVjNa6v1u7ulyfffOfJTz8fr/Rvu/7kQLAxfoJnKXoqUyKVSMmTn5xv
zdfrgj1NMUsFVVT9+kf+tufzmwaeu/pLOX6V4ubTp+EuBHiNX//+47lvZIbL+slPtz62472mDCjt
lyen7afq5slPVfDZlxuZvxf49Pmvb/jztzr+1z+PLsA7H115YIZjBf3Vre+I9tAG3wj/N21AyFPK
iBToN12rb02hnlJOU4wUQ7/+AUt92fqLKb4q6vvS/Lklvj72jeD/WVr/5ozA2R9u7E0Yy5v2t/f/
Pz/+hD9lMmWcY/K7bh96AQXvUApxhb94Aftt6y+qv/6fSPTn6n/w6Dfv+cuT67P/aF/4RlqwStP9
ppP/BXPQp4xKLBiTX8yBv/UE+ZRIqTilX81Bf9v6izkubj6V681PV8PNp7tQ/nbvz8T6c5scP//N
q/7y5OLq/yvDxP9Nw/CnilDGMf5iF/StYSR6Cj50H8S+Zosjw7weR8itj7bL0eNHZnn9/9gs388r
vyfa3c14k/+aoR+klh/f/S0nHT36o0T/JeKffvrliUgxRYQjsBGHfxBKxYMcdL/kNxnj/ObTTf27
f3x3gTuItr88AdtSIjnlmKuUUqbSJz/Nd/d3BAFvxYhzqVL4B4Hg2PphLAFViKdICMkQpC2huBRw
K/j46y1IdlRISGcUsAUDiPE7YLrybjW+/V1PXz//1MbmylftGEAYBjik+/K9e7kTglORCgT/w/Xb
m2tAY/A1/F+pG32N67E8cbNo9hGE59p2s1GZ7Jp+0lS12zORtPIQ6RDO0MjEmSeyjHrio30+d1sy
6laurNmJxQ1vWFLE50HJ9U1nG5VmbSXbbj/UTe10NffquulseCFqlC6ZsI1EmorNV73ujEmGrJtw
kQeKCq+D7Yn5OMkp6U4n79OLQBg9cwueb6ZibT92Zc1CPqS2O/imHRq9sUqZzE2Bo5N55fzDsNbG
a+rVsh5WNCKkiXNTfxp8UiRZv5ap3cUO2/7MSl69WDrBTGa3oX/FRGxeRimWHa/jVGTLOvD3ZK2b
q2XBa5ItE6mnbLCbc3uy9iXXlJXofW/XmmpFk6HKVD2K66WtJq+ZpdOtZclypmyTnuFozDVLWJv3
siIvCbPxLSoGdtUkZXMtmpofkjFVJ6nrtsOEljYvEi6K84lxuls963Nq+LIjfE7kfopDE7UhsbxV
8wJ2TFwoVe4In6Ju6nl71iWcfp6LaXmJerPdVXPTTLowXf9+I3V6qeJqcV4GWwxZk1rzWqRuWnSM
zXhVdgo9X61dZq2WbmM6mnU61K4yi7Zmml8LzJM3vapKp/ks0GsZcblqxfu1zqvEoSvJS/LR4rk/
DJvsM0zG2ugFmXDVtDzx2ndtI/KmK9QzS+vx3Lbl0OueDu2JsH0VTtOmV4OucTt+aNI6GXYsjeHO
NMXyik1+nnVIxwJrOSYyE0WUF74beMjAP5zbjSolh7q3QV0yFV2fj6ttl4ypKS31mjhfXcybWCrd
rL1Pczu1Cd036SbuWkuLdFe6nhVZZ9tuy3lPHM4S1VivRzZ0H7bUle8Q6bzmTbW0lw1b2KTBa9YA
ynDNfMJaEccMFLvErEqbCvQ3RZCTwkbLrmJrec1w2Q+gfW7eNYEWnyvbifVscKS4qws+nkjbR3zb
uQk1uhw4ng60KTY4Ugsb/V4MtPRXkyP4PKqyLXThnDwt5zncRl4ueTJAHbRDVQOfAwnJOU4qX+dT
jOpD6rfNXo3lxKNOl4Kd2nltXvejST+tbKveL6YupB5UIbpdWzUuw8izvUVJnWYpbufTrhSl16Xl
Aukq4TzdkbZ3MkO+HnE2KRP3q0Jrp8ttlXdqGjjZ1UHhXArHrJ6WUbxAsQinE5/CpF0Tl5eJU+Gj
Glh4a22JnqfLtu1ZDKPfNeXCpe4GNb1IkjS8nQfG9MBm/2zbcL+fnEA8X6TtuK6mYsobosZKJ75M
c9K1DnTReFPpzU7d27UJ9bMW16zMueWBaluk/rQdzUI0LuimGZzKWTs0+1KXbGJ6soLnPPjpVm1u
6TW2UahsXLfxwtVuveZqK+XeF74rcsfW5dCbhB1w59Cp6Oq51QTM+H5Q9fZpTILhORnReoGaMbmI
ojQXKrC61MSn4npuuurlNCWx0W7i+BTNfDtJQzFcV3KeLoMhfNRkbpOdgXrvnfelyKdtLvehKIpX
Y4SQk9HGbHtbz27VTHVVnowottmWSvuhrWZ/ad3A8tAbpa1altNYDNunuFIvs7UsPT7UtadC82kF
28e6K6lOZ9O973xXvxfYkPlMUUx9xhYxaIjh42uwzjJptBp8SZs5ZJMb+/UsYcsc9CwDVQcvrd8V
VRLrDAU6d3BWrf/oGOWvxjTCIexRVESbubcfsE+7d6yfZ6X7fvBOk5iObJ/yjZSZr23d6lEMW3Ug
HereBIttfU2kb0YwCYWgY1Da72jSIvKstCuadxOof8tFNSaL5t06LSfEzTQ9HdAa6GXXd8OF2aqi
0nOr1nonDFHPh164j0tpys9lMvhdF1D1ypAhOK0chXQjXC0Pti9smTnjRV6suOsy04rqJG1RNLvE
98tZOvVLqelauLM4T3zL2OSakDk/+ufIkinssAlmN8liuZq7nm67ZE3qw9SU6BSPRdxNIro0WxrM
ln1PqT2nA05YRvxIT1BHy8O0XA5x2YwugXfp9BCm7Xy1XZfHpmmZRn2K6qznjf0o+rrNkaPP5qWa
o7YuwlMeJHzReRHeUifnszEBxJGZdWSlDjWarPYzqnZmFP4M3Ib5t0299lanYzgRXB7G4DauV+ze
OzmoZyNvAD/UvUp12Sp3VtIZG3CXoa+BnSkY0hB2WohDLDkM+JrK5QXBXmmJpu2Tg2wAiboaX7nW
yWdm80u2NoXM0jaM120Rp88pJJ8DNSM9o4rfiGHmuy0qd7LN1JyQMYTXdGH0RNZMgOs65/QocXrX
V6qYMu8mdRUxpvvazXHJNiG7M1yMTc7XKp4UCm+9plU1DLu5ssv5RvvxvDUe7dRU1BeOQSDP7dz2
ncaL8WuWSpxEPXJc1Fk5JfgQ7Kqs3qq+Pt2AkbkmNnVnCxy1cylH+2xTVfosllH2uupieKfgnO0C
a+UtXwvSat6m/WXaOHndNkic2HFscZZ2RaHJkpBPCg7Mrgi4fdFbVevebVWaN7VJTxAbu9eoRdVh
jmB+r/ryXVPWotEzqbegK26QxsKK522t+C2uRobyQc0+48PYfRgHxbJt7MdXPQnhdjG4u+IjXy7a
wa4ym2trngcWRE69KA8zQ1XQievoCJiLiA/NRu2a+eiW1zyt0kGzuTF3RdmXl02R0HMbO9FkrgEv
1HM3YkigPsb3U7qKXEy9fJmkdEIQAArzXqC67LWppuVDwsvkQx3TodJ2tMubTll+KGUnLoFpoGdq
mevPIO9wJUxYP6otVl5v3RoAnlWD6/Q0yPGVWuem1zbMzO6oqSTRnK3rC2kGuRcrm99sKed70bfN
jSIcoEYX6tnoMRTzqIthbIeM9NQcwFTzOTZmhOhQFcOLaqC8B/jCa6vHzUGkIn4ZXd7FcqjOhE2i
P8RxGIrTbhiR2Um1cLd3uMTPQ9elb4mYJ6NJQPW6r6ZmwnoZpKG6IoN8VhmxNZlPlzDuplkNZSY3
tNEskp6rrFjn4f08VoPdDVWJfFZtrrioOKF+x0ZensIJUVvmSTXemFJAUpuZxNf1JED/QcZ01qax
8YQAifsmTcv+uutdqPUA9dC1XVO1m/BksoQg8awKTF7iJaK7CvfSaTgFLckh77YQAEl0s67lwF6u
LlZlXq0ACfQ8hLLNTbV11Q4nUMJcSdZMxX6eWHoiHPF+V9dpJyG9tZLuPKSK6YJUoSs0WMGYbFFe
HDge5bVzpOt3m5rlpr1y6WfbJIrtWpXg14ol600lE/RJShfjiZ83yOT1MIwRwKptW93HfukyZ22X
O+DDsjJ15jMxvroet85mq+pwtQeMuTU6lVW+CT+8iLINu0EMEKLaIPl+BdRmd+mCSa5KKSFOxVpq
zkNxo+aeXKMWIEYOqFcl2dAo5vKl40sN+Noln11sNsBocThVG7y43qbe75OiXfJBUHCTFPLyDk52
xHlvkb+hqu/IlZ2My4uJLxo+LVceuW7N2s7PRKNuKEoNp4pkRdOXV4Wr01NaS3NZo6YZ9MqDwFAB
kX7TA53llAlY0ry2VQoy4YF2b7pZyLDrVeE+e1eR64G6tQaoU/OdK/q4S2yy7URcwMjDkpyMdBhz
XtDOZAUCBKhXM6CdaccxjxuCs9hVNdMMme6mdMnwrF42AgAfb9tJMmL1eU1FsR6KpBHLBbZV8mpK
JlhFloGdGiFrKMmg5iSHkcbizMOZvl2dAtC8pdhcQ+bujKakUs9k4dvTbkR1p5fF0wNKQsymXti9
gBySm4H0OSdlvejWiu00taXVCRIxVz6ZdFxDvACh07OUEvQOcECfq1q1+xpXNAGncV6LudgKrabe
ZVaYarfYOl77NCZBN9T5oIve9brtUfVCoM3luFOl0Uwq9gw1BOAUq4uc8OIj4FR1QOCTOVTyIQde
1HwgQzN+XBFiVCcVLnZmJfUHE7x4YTYcFg3VgT2bfeIOW9I02WrG5dWyFFdrOeL3GLnyBasG8Euy
iFYXnC1nsp/mk7Rz5hnnXQ1659WZLJ0qs0VU7OBrRN72wyYgRlWe3yP0hu5LhCqjRZp2jR6NBTRb
V+gjgxBzUgEszWtwnHAxty7CIaJQHA9TA9g1qey4M3Rzp95HANGoqfwrbwDxAoTjV5wv6ct08/RU
8JBc+cBoPnMfVm0sn171SWdmDZGXnHIjZS6WqXwFrle8LznZILQVsYPwaCqILnFSlXYtap63a1ee
0aLkV1NK+KB7KddKU47qC5bQeFJWJX1ekW2RumitvRxcb9YdQ02yK1EUp0Vj1rAroh1frsRVr6OL
05VKDLsF38VXuBzUXR/KsB+ULRrNyVomOplT/JaMHlA9ru0p67m9EAiNi0YTcBnNCPGqipGMOsrG
nro2lrvYNs2hkH2ja5Usp6Tj3a5w6fIscfCytYBFdJG0PUBW43nOHI1vB0h1JezWuz1CGNZEo3tZ
ECdfjWVMar3GjgTdlTPf97XtspKS5cL7BOPsHrmwLBVl+wo32O55Otkrn5LPAopByMp9HcJuicl4
vqaLeHOfPvOprmV77ZZ0fsMhKYMtt97LfZz8+KlOlzX7LyjOXVe01J3QlQGiccOy7BC3PuptLdnl
Bikl7pyyKGS/MmZfyb1vqKhb361DZcqv7bvfP/7rlW/gv18bTX9cvO/+/fHpcOfvuelw/KX7fX7/
1h/Nqnuq7vfO1REV+KWF+B2e8Ic3/2ckIkaYEGj4/Yg5vLgz5Y27WaEx9wf7+MeDXxhDRZ4KhoCK
ZBgTilIOS35hDKV6KjEwxRwrKb7e+UoZQicGcdhdKQFko+DqD8qQsKeIIIYVYZwpIBT/FmVI7rnQ
B5ShkIijVFKGgJhMYbH0nlJ8QB3Gohwhswt+MqghBfTd15CzJN2WQWOghD4ttXNngCKX7hSqvPgy
xas0OZ+x3fZGFfR1b20DZTfn9Q5wFJBOTZXMRcbmcekPQIbR1yoIelHMM7pskoSNV5S1nGZiURJI
izS16iR4L+sDWmXfnaPEL6draNqMMVOaXBajeRWYKJCeEjdmMeLklcKxfyajiO+6dHGQLqTKIcJC
idTKa7QN1W6iQHqtftKq7sBt6zANtxD7uzmzNDR9Bi9rzhGQSqMeUrydszJ0bjenJVRM0clDurnm
RAAvd9mTipwUTC47wzZ6slZrdULSXmVtsi4ma9zKX8wlVa+kV/Iw43q+6KRTmV2BogPaF+VQaHba
RdVmpOQZgVjYvZm8nON14YGv1D0UGVglHYD0rlqbHKhZis4JKSpzNrfz9KKfHF+hKvWpOe+r0c4Q
q6aJ6mV2ptaq7RezC7hYup1JaCv16u047Q1eIXxDuZTgFxtmar0cjOTtC5yixOgN9cVwUtsE0G3Z
SbydRjRye1ZAIgFAZws85TFytu3pVLp3wE/17IVshpHs8SYBRbmSpHVGIqlXTbcwxX3Bw3QQIyo/
Id8ZkTVdow7tEPEbVgAA3hlkzN7b8Fmp5VmEyHlFWknO/bB2taYoOUkWOb0TfFh0iYqreWm55v08
ApJfGnVBh3kHHF/1Alc12nPkGu1dYQFiMTQfAtSXn2gziRNPkrI6VNNW4Z3zqN/VvJPABtsi0avw
fN011ShfOpys53NRbVm6VOx+7MC9HKEs3kWqgB7wbXmoDfVnSLTNLgnK5KiSZ3FYVb5ueHtVtBXe
AxhkZ5xbChxacqhajC6NjFntQ3i5prbKSszDZWIwQGcoSSBj05jq1AGrre9Zn0b3wO+ag09md84E
kTtYa9itjWvOhz7FAPhsWr2C0xqfeUSxzRDx66xXVdnT1dRAwXjgFxrAX9p1Jp4CoVtfKllM70ew
baGNLzAwqWRZjV7nZUF6S+Z5Nwxlq5tGvFmqqnnRr/7gZ+vyXqHtTWOn6hMjyZwPUnQvm2jCQZTR
gt7teuDW9O+FGtNTl2zxohvXO6gDAYt0K2lyuRTjSZ1YyGmDSOp3XTLzl7NfcZ1hKGU/dOuIQ44a
np7Obkr2y7LEXUU6mvOExJxBdblH/dAfNiXmbFiYyxpM671bLMrSwbgTp5Iz4Nw4RJhmueAMxXcF
CjPVwbgro2h/FoDrPYPGgLo0tC9u0nkqxv87Ce/itzmZ44z3MOH96z8vLd4+nD75JrthaGb+PlPz
b720b6Yv7ltSQMPA47+2zpSAIRosoMtFoRiHRtjviZDLp1hBRpOIKSQJnOKj3hkkOg5jB1/7beFL
74w/FZC6KOROAh0/rhT5O70z6Ns9SINfO2eM3Sfah+kvFEvh60rxkxLvFLsME8wj/P7+X4HRw57c
99a9v/4grSpSTTy4ReRAwblSb9u6vi0JX74M9HyZ5/kby4OWHy5vwbXAmVuRQ6NlGK6BXUbmlVk2
//nH4vPvqAWmbB6ur5qtlhF6FznAkLC96HCjkC6pZVijFColnQKrVux/vNn3dAXmf7gZdPq4nU0L
zH+gkkJ1Ts2g/crlhx+v/y3U+cPG6Nv1oXpGnVUrhwq/Sy8wntPm5Yws4uerHNvlkIgNahPILN31
jzf8zgtJOOkPX6iTqJvE/YaTU2I582UsYpaGWFb5jze4X+jf+r0wH3IE2mS1zWiMlOVzHcR8xlda
kKyrAynPoQVhyQWONVD0fejbVWjkUmiuoLachpMf7/+d48GP9m/UBExcNOLQuNAX0O1s+viG9ptC
QD2XSryA1jblpz/eDN/b6c/e9qi7DbQjUNZhZTm0XKc+k0QeBMWfu5r2MxCoZp4aIAdEcu5ng+s8
AjklW50YSZrzH4vwPYPe6+GBNzsDUM6xGfQtCcvo4D8LNld/oczvLX4UgjyEhVkCVZ+vaxDvkF+9
LqZoLx8n+v2uD0WXtoLmGHSKauDE7xB0F87bpKrjl4T4dwORPApEAFtY15eM5W4U0xtoEad6KTbx
uDAnj8LQ4GZogQDuzEefbFuOlmQadrzzXjxS/KPQQ4Akl6uzEHqAJAI28Z4FgW4V+O3uUernR7HH
AcGM18WKw5B088GMOHXaUGk+PWp5ebQ8sWvS+tAlh9avgl+FKpTjm2Yck8+PWl8cRbIATCmaFyYP
m8dNvpo0GfRS1WH4C/3fn/E/cW1xFEiUr1MXyVoA/pVbs58H3E25m1dc7fqqTNUjtzmKIDT1hZy7
RBzGEXifk5b7FuVbi6Gj3FXjvDzOk8VRmOj91Bd0aeShg37Nq3pYy8sWivtXP7bF93R1FCfmepF4
Bgh1IMlSARkO9PO5SVffv62ZrJe/UNV9XPgzi9xffxAvSmm6GlC/PAwuXU+TZkOXyuDB6R+/xPeW
p98u74tqRaAcfoiiJ8DI2SV9zzff5Y9b/ihgxEn4e8qDHyYHFhidaXIgf0X3SOmPwkWsaLu61QI7
EKYabLDKJdEBrdX2yA2O/BnIR9bDkI48KNz0wJVj1kIVBmT4fPUoBd2D8IfmFWSlAScLP6hQVm+g
ixCulsr06+Pk50eOJtaBKiDIxaGj6VidjBtdlC7rZkaPczF+5GJLtfZ8JIM41MF06WloyCS1vW8v
/sUG95HnT84/P/Ky1ViDmhlM3BdrN+ysoULATNc28TMzFk2dL4as7TvXSPohtmZuH4ly+JHjucUU
wm8zhEIHNO5ZmYQC+nBbrQA1ynG2KUzojXabsqrkXbOHHo0RO57O1L+cgLiJf/H+33FQfuSga8Gh
21cnxaERSdzRahYHGPWhf3E+8L2n/Jl6ybfnj03jUvWkVwcKLJ3PN1xMY86KbXMnnaJivTSh8Z+7
JJ2bk3STLXu+UEraCyKktO9kTWBg6HGecOTLsrUM2nFVeuhEEWjGN3XXLcvcPy6OsiNHi3jg0lqT
Hky3yPcM0s/zgJLmcXHu10HQB1EaetmtTRKhDsxBJZNFLJtNx2pYw18cg++4ATty5FD1KyPQzD6M
61yQU5kOA/q4dBhcoiTQrtZtdc/5kI135rZrtkAeqbcjB6fQtwIrD/zAZQEzkR3MBjTQSkmTR4ZY
duTgW7rVfQRyKo89wzAzMpndxn2ye9SpYkdezAuFWtsv2yFEMx62VljNh87+RZD4jnOyI+fkGJXJ
AnXWwZKqyciI7a5YPXnkoTryTShEvMSV3w4E6kaNSvy2NelfIb3viX7kbph3LTD1ZjsYsY4XcYUx
l9z1JRCaj1P8UeYsbRw7OqzbISkadUqmpd4VVKaHR62eHnkz7SbWATe8HcaCpNlMRdChwdXjZD/u
wciWbBLmOkD2EUbjahonzWuRPi7QHQ+Hw7DngOYibIceV24fVGsyGOLY9j/WzL3b/ElAT4/8tS1Y
CbObyXyYE3YHlWA97dOxhhGwcRb8kW9w5LJ0ElNr62I+UHDcazV6m+PU14+rkNMjlx1bwCrzxueD
h99GncIoQNzZtX1kuEmPXBaPjSvkZuPBBJc+q1wjLrrFPVL0I4+FTFrUNabjob/v12QDIyET5VKX
ux8b9ztOmx45LStMqJMNmJeurZazejTjeSwK90inOnJZ4EeTCUNvfz9EM4eXdEbSXbIBps0fd27u
u7kPwS7MhUy9gXELwGxxy+qOvV/V2v7Fwf+Obuh95nyQgpmFGWoJfZa8dyXWNESie6XiI0U/yr+0
sykprJxA88n7gQAAa9VSPM6s9Mhn624bkiTwr6KnpCea3U+QP+rQ0GNvZTALIkvoHqoZSGNyv3p4
vGLuzfFA7TDM2hUuwOqLhTGZKOsIg1zEPlL2I28tUyY9tN9h9ZTAvGnq9gbG+B4X5ik5Eh0m9WRl
YHGYcmwOTsCcYgnd9sdhg/smykPFLCMVBUyBTTkbixmGtyYYg+9+a3z9XZ6PHvlqU3ak9RTFvJ22
Vs9ldRfthh+ndXLkp2GD8VVfzhHGYMtU85S9T6ZAHrn4kZ+igg0UxoLGXPSo3YWlugkRhmkfddbJ
kZv24X5IEYaJcstVqbmF8ac4EPHI1Y/8VFCbmCpRILqK+CJAe+SqEMY9rkV1/4u1bw5MTEkLIyHx
sGH4sb/eWsnZLoGf4HydDvq7Z4YcuSrpF9XEzkyHNYWfdumEduzQzWS8fZzu/5uzK+uWE+Xav8i1
FBD1VqvKU2dKTnIy3riSdLc44IAg4q//nuqrjm+68y1ue+BQyN5sNs9wiFVgz4gaN4mTtVp6kLKW
6LR0rTv7jU5+Xh2jqonWgFGVOqNfo5a8LIy++A19jNTFtdK5QJeNCJ6RHr84knj218ghTjO85ifR
kOiytSI9GRG/jl01+iWw6BCnQ7cECqAdUwaNboDJTR4TMod+mz06xCmehe20bGlwBs/nj8YBwhfL
B68Fjw5RmjYWRJ42cCWGXQB3Jwu4fuCM1H6pNzrE6VrHRnRM6RKArvAzA4qmyZdmj/wqjegQqGbu
SdhXoynlqPbTuCXfRQOctd/aHIK0Sps5WRtlytgpV0jwlsAY+d3L622QX1wObmCAf6aYbACTYAqk
LsGUzZ7SpY6e+qCaPvlN/RCiRBOtIBWC7SgAxARj6XOSNp6f9BCjOxuBKBWdKVUMnFWUbl/6OX3r
N+9DjDLLNttQjB20yysz7ilmy5PX0OEhQkdbVaDV1PocVkFQBG312OyhZ38gPERoBGZUsgckOIN7
/Ua65EuqXO+XWsJDiAYCdboasSa9GF7GerxUUvhl8vAQnWyyjm5oep/Hfb1Tljyw2O8EDQ+BOTkQ
NcYJdzsu68d03IB1q/xePsNDWDa93sQN6Xie5Id9NUCzf/TbIYeQBPpXTXuHj8hE911t2Uu6c788
FR7i0cxrtznLdelA5nvdnSZla+hy8pv4ISLpUG1D22S6XAK87pOhu8uq7LPf2IeIBB0NANMoDM5x
g+o2CPk3BtymV4YFU+DnJIiNPc99iCNZNIDWxgsLTsD9rl6Bw7JDUKbLmmgWr8F55u9BcEzxvuyz
Jgw4459yNyiTM5uF06VJga+wdAFfbuavfoMfYtICPOLcUC3nSEx3tsdz+0xBT/Ab/BCWypiwC3oM
nvbxW2qmHw1zynNVDnEJ7QcXzmkGyQJJ38YYezOr79iH0Ixsk1C6RWgbA0j+aNK6vZ/Zxj1X5RCd
YmFrj3oWGyUG13MP2w89F14FFssOsblloKOBkqjLjToNiCqr+HgiqIAar9TCskOATlayCigKXdZs
+hbY9RMeHz547ZYjWGulNFScYl2MqePTbDoQVFKSeNURaAj9HEVKrAn60Rsmvm1vzRjeb+Am+e3F
9BChrUxCUEjoUqYdfeoBOAQpPyF+K54eItTUCphLs+oynPoXFoBPpYRXkcLSY3zGweBqKpeSkJgU
VkaqiFj7l9/nPASow4vCkkq9AAHAv9TLdt8k8Xu/oQ/xuSlddSkJVAmiNIQFxmS+DBK8RL/RD/E5
go0JRQuMjiek/TTs43NCAd/3G/wQoDcmUiciq8oR+JQbRUsFD+DwuXd+wx/C0wYUWRGSHiVZ3R8g
jr5sS/rda+gjAknj4BETeGhlx+t32zRdwZH024dH8NFapR1ve6ZKUDrFebU1OQX98MNv3ofgbHZW
LWrrljITU9Ex9yzT35Wdtzj531sVO8KMbIB+8DolqhRyBc9LJSC4zXzactsS4wq/+R+CNO6GbejG
WJV9Q7/2gn0Kpu7Vb+hDiG4AIfaQwlGI/3W5WxcV5dHK/J7qINr4c8atiQDLkhJMHDRAuQYDGLrT
R7+ZH2JUbPPUqVAsZUwaZs87NY5BN6kXnd8hnRzilIka7JG0x5bcgpdGktdm9ruLQybq53Xpm3jG
hRlDVy570WHzpqLc6xnqb4rbP6/5fepAZF6dKmklSRmkRL9EtW28wLfsCDYmyRrGa4OdWIW7yx24
IZR5IrrYEbAktyrQ2yJUOaxTCIJocplt7dcdBuvh5yXXihnDMiw50uPD6shDH29+MXSEKWW27k07
16pMqnrIk909ZJAR8DstjlCkDLsk3Einymhc39JoflSh9pz3ITpVg9cJSF7N5cLTT02kXvpu9rrE
MX4IzmpjUNGYWlVyrEyeAReez06mfvmQHyJT03YOWkhy4N1GgD1IuhcTZB+80soRJByGuGcNcTiX
dUNlm1s0Ks4mDLjfwhyhSG2bATbWOsRN5mSRGs7f9U24+33RIxRpbWNeAQx3Y2xB0SBa2DNOUr/X
c3aEIRlI1o3xNmK7jBkUcG4add0i8jRbO68eDl74f45R4GfDrN4GrH0tbFIMaJ6VVcVmv3cEdoQb
uc6YVMlqKtNg6eZitZP8y4Db5nlpPAKOIklCZsEdLZUAVV7WvAXXVcQXr515BBwlybZB1CecStNz
UoQcwG+K269fnokPEat7YOMXOkzgbia1ziNI2X3r3DbUnuMfYhYCMlzZDWszCui9NVp+2PrI78yL
j8cpGa0MEoN1H9Lpzi3hcrH9KO681v2IN1rpSt3U26lsq3j/FI5Vfcegc9T5LcwRcESRJ2Pi8Fmz
oZqXS2JSyvK4GiGG4zf/Q/WLx7huHKYVK08Xe1Uq/SDm3q83z46Qo6STUNDRaioTpt839fJiO/3e
b96HqreGKg/t+3oukyH7Oow2ygVjvwO/MqSUX9TtR6DRjJZ5CkW4qaSqTb8meFS4M51cPbfM4WTV
YbC5ncZjiUjNcg7oSw4RsuTstzCHUFUuwBt9j9Hj1Zk8jqb7bvgdiunvEvRXC3OI07nZAK9LyViu
vKurHK/FLZJN0mxdUcus7u7k5Ox7I5f+Shca8FILMcevoLgl81uWxYt6nyWSg3fc6PEOwnKMQ9it
QTO+3uY0tPnO2ll9gNRPYIrQzUP3bRQimAuOwpKcIMomzDmZDKjIfYQuWcHxSg1FvTlI25Ikm2DX
aoSyItQT0U34HADZ6y4RbZfkRJMNY9q+0ZBDmDOxgG1HdnORhGz7aVklHb5u0Gqp3mrGg/b7EsXz
XKY7ydZSbfi9p0nv8bkN1zgthoSAJ81dUpu7Ohrr7JGnA6ha4bxDYTTNbL5CReU6NYvayxBqA+5i
Zb+y0wp+eHxeE8vQwu7Fyoq6n+SIejbLXJGqBkKAcmxU9GCHqs2uPY00K3esti1i2q3XHYo1z2pY
Q3Zi4bruEFNU1Q6KfDsmflXIEf0yDw3U5/ZsLDM02/KYtI9ir/1YK+wIfgnx02KWTmPpIN4oT2No
23KDyo9n9ccO2V5uEDfsDB1LHosRLasgJzXN/JLlEaZGWeVQBfdTKbj8s2Ld+yppPBc9/bm6gSrX
tvWQFCtjU5ULpPyqOPLrbP4tLPIPIFa8AlYTof1VEqg5QBwngxBFD1U4r3xzhKipsKa8w4tjWZO2
zbdu/ou3yq9iPQLUWnBz1yEJIe0GiZ5n0L+au5Fq6ZeH6S37/2NdBG8g00n4UtaqY49QN2nBKzD6
i9+6HLK8kvW6rtM6ltALMx9VOu94iRhS7bnsh30eQdJiDyg+Kq+hhHsmy2D2PAnibj55zf8I9dJy
tlUg9FjioeovO7H7OFj8KBcw8vh55Sdj1TpD4KMUYQYcmV6gZV3QrCV/+c39UNSs8bzT1ZCp7Ods
T/NknCne2CGJ5YfFgCLWzz/AQuI2CrcaBQIsVnKT2PbcNI1ngXDEe03QRmv3Gkc43mhUAUQZL6DO
EZZ+i3PY9jYEezluhhFMVAgGcbrGGtotivvh+xk5bPylHSBlPI7IZINJ7sVAw6+40zq/VjA5lDfJ
JuddLqhX0crarhWrTJmEOvHc9If6hlBo/zS3BN82si4WO9e50VL6xewR8hUpKDtuuCeXgRvonwJo
8z93CeHvwuvDHkFfMaEDdPi6qYx5sgZXCO5FRQg1p/g3b4f/Qu9nR+AX+KBVxft0KPc+oup16qC2
XlTJQKaThcj7Kxhhz0GQ9VBwbOcuK2qIgPOLCOJ49Pv6R3wYiLQ8NC3qTwsV+LQIZAsBCimGqfe7
Rh8BYjykO+4st8xU6ah6kE0NRribnQ49P9Lh3rKHRoGSSoYSbiFNB12o1jIo+LLVs0aJDuHNoa+p
BoI/4AwBbHk3n4De/+G3ww6h3WvpdGb2oZzUsBRbTf/adew78UNk1zOkGRdo6EKDn1160t0Tsvi1
AP7mOP7jpIeYWVhbKIiUmq1L0QUMTw12f+e3KIeTWIte1ZFdh7IyKj0bAUFOGTeeR+URJ2YTuE4N
+KJlA33Q77K19IcKcNx4zf0IFFtaBqWyIZIlypXnZN0fIOv4Gy2X2377xVXxiBOrN7wzcjUO5bIR
cR/1KoXM8Gj9DrEjVMx2vEnXjsoScqxjnbdpOt+LxAzCL0yPgDGWQfWUQxizTOKhLeYsvetY5PzO
gSNkTE1DXVdZM5QZE/ZxUZIViW7Xl//+prdM8quFPwRpZju32gjne7+zGVVzuNQwqAijcTxzXIwG
rxqLHvWYIMhRVZNWkFBVyXdc1J9kIj799y/49dahN+uWfxbmbA3xNAg6FhiCY9VCdM+sf1oKGXC/
4Q8L1KBWHkQ19GU2pRW6O0t6lTw2XiFFIXb10+RH0kIdXmHyVS1wx4/IlEPzwS8d0CN+J+M7VLQX
NDsiqyMHpwg8/hZQX25Xr8siNAB+nn662mpCGdGXkYD8HqT9w7cjyFNeuRIN6J9Hdxx2KFAThJlC
VG/jfQuN42dCpth4zZ4dgY2p4xVkOuuxDA3VsMKIdXvL92E2nnz2DrsZSv1za8qgWWaI5iJhxuS9
0eE76AV6bRwWHlYekiQ6DRXmjpYvRA4V3pd2Ew2em/6w8tDdTIMOUNVzlKjq3eqC6f0gYj+KHaTe
fl6WHnKKJiRLfysM0pdJ0rjUTZx6LTo9AhzheSTDSt4CVqBVNs7pS8Cgi+zzRWFj8PPUjdODM67p
AVuBrlgBRiycevoMeqT/Pf7fzYr/zcf0CCzj0MDeODfIZtzEECmNoO1713TrrC64iBlygXcVh0Z4
3G/jY+BwK3icYMYjv5CIsouBaPM1YYGL82yvDOQP4FfRvYHVxEYKOc+uKfZaVPv3sYKpwmWYcOYW
Jm63H1Qy9rBOrb53jVgvtDKwFdohUiFuitJsfxUR+C0v3U1I4hW+UdNywoWN7fi3yhYiBPLzuZ0E
9MnxXy/NEyUVDFn+e1H+JcMfAXHANc7kRkg+11XUPq8QB3+Edmvtd8DSIyRuDGCcge5oV5It/JOT
+SWL6rd+M7+duv8oJXHXdDLgtishpAqpWMKuBArcv9krtz33q61yOPiMCeAks2xdOU8Q07iqBU4H
p8wB9QC9W1j8XGEX1osvfr/kcAxGcxZDzTruygCWVWcG+5rLDoHzD36jk5/XSbjK4I5IYa0yMnEK
qv2Tbsnv1um22L9ap0MWjsK6MZ0yXclhhPAeqGr2JhX19m1ro+A3zcF/+xOHbBxWGVxpprk7LxuF
WL/QkDpt4HGBZvu1sWC0/eZS/S+f/IiaAzyhNivvazg46K67mHiLgA4L+nMj95QUQHT7dZVgZvfz
F7lZU8hK9Vi0gQQAuvFPSESeNVVy6LgFEBxBI2DoSnhhfNXUXjSN3v33TvqXL3EE0SUUWM4dHNxT
V8+Jvmb9El/GNMO7P6/XPvRCF9Cb9d8/4zrG2LxpkgAyHdD2A9e9/pzNiR+1lSaHwF5cNjeNU22Z
JLGG+vIIGX0R+V1W6BFItzZoRVKYYpQNS9llWp2EwH/jdY+jySGQQz5FfZ/01Slam/uwgjfVyD3X
/BDGjob9MmoMve/sXGXzRTbE635Ijxg6B6WyZsm66tQ15CGJgwc4Mv0mSf/L2XUU5gKsECaSvKlO
U2thZbgsugxi+v6/N/u/DX4I0go+SqujATY7fKrO06QYBKR7dvEb/RClYdYpeEIFTZnA/+UBqNdP
cHHwE4elRwxdzZM6WIlpyh4OEBeT6eEunHs/KCpE+n+OTwi4491QKqiFt+18mkT6GCRqOfutyyE8
oVg9mwXGlSctWbNdCLEfJtV1fk1FeJ3+PHcxZnru2ZCdhnV+7vqxbNXod4gfoXRObFstaxRSvTZN
PpghLPY+/k3m/bfNeIjPFej8HQw/BNECW02gxoqJQ1HYb80PB+wOkZ5l1VMD1pKE4U49jTMMoOCk
5Df+EUuXSQfORRdnIFqNO8nTvlIP49Y1fjxIekTTGT5UQzLT7CTtjmfPF6AAfjPzv1u1vyhvjlg6
+O5FEKeqRQnvU7o+wFAyBsGohtjmK5SSxrKJs53mybzK+MzRXbPFrLt4hYTlxN1lNlk4n/cJxoHf
ZBKTFRYEtEm8OvCUHeKwzzTdaQon2CbZ1CWuNGR+g87vXY0egTfUEtjedLDxoVYKoCz0KyiV22/W
9V+281Hgx1i4i0LTajm7JNrzLuxUkXSe+YmRn2M87gwP6Lwu511CosFq91eoYNPqFStHdZ9ghzdw
BSebcw3E/CmzQsBcAPQtv9GPkQjoc9WsSKbJRL4vkr6XgvhRKukRMSEkbuzjxMy5CVWYbxOpzlUF
6IzXzI+Q0C2YI4jA6Fs7Sen62tAwNXB37Zbh5PcHDrt9aBrN00gkp00JjtPStTD2FDAcpz/8/sDh
5FG6M/taTeZsRjGdZcrsacqY17MHPWJCcX+I6USlOUc3ETobz5ANYIkX2B8m6j9v+ClZ4ZKqMfhq
oO3dL2yGxwdslPzW5XD0MGEgzWAGcyZtNBW0i1r4TvXf/QY/bPixS9MwpJU+r0TIPIXVzWneWOhX
ZB0RoTWAzyELqD6PgHnlY6fq5z6h+qPX3I+AUGaniUZ81ucgwxMc6/YaPoCx38IcBegaZaMRqAB9
hqIpeTvIrfvOwz3xq8mPaNA9FnbWBilyGHhfQNkc8kSs+p0Ezy0kf3FoHlW+4CA2E/jophde9fH6
VhjZyIvjpFcXpiacgl7rfwRTVSuMqmH0AgMUkgZwiIOF+bAZPzAVPYKpJlElWnOMXtdDc0qBpCqy
0f3hN/VDMutafAHgGdV52mBx2Mi5PS2y8ss1RzBVNrFQyzi+uZ+Z9SIFnD+hMLz7JRt6qKCdxHVj
V1adtdj7S7R0H/aojT0/6SGT7QIW5CN6PecpFbBCgoFNAUiqH+wfr/o/58khcYlO0mo6BzJQsLuf
hpzCNdXvBDyqfVUMBkVRy6czPBZFsccwDk8hLe93/B0xYCZyaDnDiurStsP+uofT9rENh99pvd/O
uF9E7BEFVlFrIwOw8jlWEfgotxw/keh3PcJ/G/1w14XDDdrVLssuLEDrfA1+jP3w6hVIR/RXFxE4
ENM5uUDnq+rzdQfAT4tt+ew3/CFOo36k4x6q7BJPcgCGtd24eORRP6R+sXqU+5pgSovCacou2RLB
kpzc96Hn4XcEf0GIa9aOYGjJUArf8BCDHyCRHpFfMFBoKpHM2WW/SR91NmIFE6n1KzjIIUxbmH7q
3Y3sBBWuu0FNb2H75xejR9hXGANURKVkJw74QzsEj2xoXry2yv9AviAjJBQd2IlwI6MSBqXgXQsr
zQe/8Q/tqGGKZtiWj8mFjRF81Xe2MPh1yfR3eoK3YPxFCjjiuZqgm1hqK36RU7Dc6Wpd5fOSwHzu
DJ5qUl1ruVvxpPfq/3G5/vt28Ks/emvF//MJx5FqWNu5x01hs8NWRH0D4+Nz1yHq+ouoYKSYz6OE
g0w+0Bln+9Y6NSTXsZ+4kBdcrNtO5v3ere4qKhdU3yi1gN0NISCtsMdr3W7hwBqqaX7seJROTyvs
rSN+3QIGT/hc7X0dwNaVZg2tc6WTCZeikePT5XE2j/W3SQnYxOWsSxp5pXsHueeTw4U+qU9uXq0q
Okfb7T0k5Oza5HEH1x3IfLtmW4Y8ykzAWZ45aLd3d9HUcWjTS/QsNTz44NNtMMElGYcPE5GoHduk
Tf+C+x/+sTIzW08wn4SEqcEKdcW6WtKUuzMbXJe6kC7DtxFN28TAPBvumhZ2vLwWX4aGddkPWZub
jeLs9lHBPE/Bge7zDaR3N+3SwScYolFLYW2zRLD0BnGyOu94siHngFTbUlQpdlpWrNy6WJ7Iusfh
Q5SuPLs0sdkleGHz6O4g4z8UCZ9W/tSGpklPYUMtLUTCZ1RhqUxPqYQAbr7NNZ8H4DfbUdQnneGK
lRTokMBFHjObB5XkKeEJeCNrU1YsQdmIXMKlucfXGkWTqxSVXZ5FQS9PRg7k66wlP1m3b8kP0+yO
XiY1xt3zrkjKP4qZJMkz1RWlj3slUlOf+h0cFXbJrImgiLDzxPRPYGik+F5T08DnsqjDPathoQdV
Y1RjMhz37s5xutnvcwrD37oYVzSDrwkYSNlrtCXb4op+YHASq9PgJgPZm36wAVgsO0BbUNBJzGrO
Dt9yHK8kRiMNBsDdkIq841124Z0YipFvVipcYF2wrLfKcl0eQrN0Z6uQo575WJsWRsikhjOlMiMx
l5bGy1bAfJjBkdsK15/Q4xDpl1TTYXzINriPXgSc/WBCCqt5NPPzLIU5IioorSmlRRZTCjtCuJbz
CwRWuu1hIDZCVzvU0Fbb8cys1xrcrdAtXAPJySGyFvbmO+kDcGbUmrDpfRLLKD2Jaonb7+iDpD2C
RrJxPS1tPC7PnQlr/gp41iwvrUtAE8rGEF6PexyQ7jESttv/aIZ+NGDMqGBkzzOCVpyHSThynWDq
O38SgUxDGIazruZxnkiWTc+h1l30nbVVlTr4i2eyLq1d1/g+VA0bP7eWu7iA5n0INnptaZRB2jnm
/Y9K27qr827u0u/wYZ2nT2CXw3cZr0s4u0CVGN0TUH1Liv95DNiPsVXrfpVkcu6120N4Dk8CkfSj
Zdjmd3VH9medhfUlJHPavkmVSfg5TJtJvJs7se1vLTgSJMBLNHQD0tNNiZhfF6uH4a8OLzfioeUz
deU4tn1VziSL1IOZs4QULaOMfEk5Ydkfke2qZ1DIg3s8I+0/wA6ReWvjGj6grApOW7On9h4mD+t+
B/Eg+rnPGtjWTz2Yji+JE/3wHNVVE13t2Bh3DmbRbneZUyEvE7izh59CXnXVOzFn9VTAVzKAJmIb
Zgt4KBJGpPfrvsTqaQl3HV4pDJ37D3DWqMY3Js4ScQlFNyYnvbUrcqeNUyUuwE9H6mnOVv6jhybA
UFTo0tg3YgsVUokYN3vm8ahVfQrxWrU+dC0Eji9VbSYwVIJkrV9FumTsKqdp4rmuAsW/C5HB+rke
lk63eTpEVQhzIEa369LLRZ+0JWFw0stAonzodzt9oTrDDE4wY48gZ7hhFk1QLypvt2AZzsNNkieH
oN3ePc8WxLRzPCn7lYTOcjiewR29KWAFwZ9QLtV/VgjhpGhh1CoLLm08fnIz/BkhcCQlJM9y2u17
c7UaLNlXB386VeVi1smGfL9PdhzzVuOYtjk63uvyw5qVxh/hkaFwIHRQq8ne9Rjl9iEnbdQZJo54
6TwPlsg4B/dziMs+i7LuvK41/OnzOtLp/mC3pUYHc4P1U3YXVg41IphsQlwXGJ8FOax7m+A9jztF
ToJxE5yWcI2yU+L2vf2owp22d6vebVYaOQbVabakco8UznNvw2hpm/foIhPX5U3f6+wC1fha32cd
bjDPDl2I9MK6Buedrqp4Bs6bie1R1mHbFeOuIl2wCaal4C2opWos2HNwzH4Hu3oJMsbAtH7bbGFC
7kY8GbfPI5TumjlfHYPDDXTF89mqLLpGNFv0m3iZg+Ebaba0f+Q9XbDHBiF78Qft0x07QUKybTmP
ddqsF/yyrT3HsmPLBxgoi+p+qZuWXkGi5f2TUQSmWGeko56f4GVEqz93SCVD03wRbQzn5KaugW0G
iQl7JIWO0r1otZvuplZSYIYJMMTheZngepiv2g3kPf5m+nGNhN6+9hCNByc9I2JkxQz5xboIkJ+q
Yqum7X1LuKZ3aTaB6xIPA8CqclVpULjJaLi8qdFuIJCsSVTgQSEVbzHdOH6zWVc3d8FAGF6OmqoL
zKuU+zjcA7ordlRFw779wKmxDB00UmGc/nJ7qaFhQcWc7E97mDG5IBPvrrqmLT49hGY5HMEeLRLy
/AbuF4u6hlpk+m7TMM6+ndybgCZAjWVcllxniPIQenX1bupibqxzLzTb+gymuybll4RJ5Le8o7ZV
b0IdpfO3XS0Ta/Ner1t8dYyG2zPD7hef22WDRwx+JB2rNx1a4/Zd2mER73fSqu00UBPrO5z/wVRj
cYlcz3ZPElujeNLjjo+p6vWy2i6QH5LIafl2xZqt93MLBN4bmOyKpmCtGJfPMIEm8RdJEpfKHAph
4TBhpWhf/zFAMzV8C9V6ln0bobzSfYWJdUdwv4IgIi1kS9rkTiZ6cajfRJjyMZ8D43AU9huOD1R7
kIzlQbwmpwUiDaMDbDQJvkNV3rEixKHeXnczd6+Jwf4+d6HtedFsO95fZDKwTzEBLqKgLq3aAndR
lsCkcExMSfok5nC33kI5P0+wowflOIJ852XK2n58onKyQZ9zMLC+teOst0scNWx9Ew2hgv4u3lmz
V5YOVlzWHk45b2ci6Od0gcvLaWEVWgFpE2j+7IapSi6hai15g/cnOrzru2TZH6J2mEckTIbYACwe
QLW07CCiqp4q2WfTVqSM1W8dkC9BsfFGru+W3c4gRIP3SmwBGcOqK5IsaqY33YIeUy5k3c9n6sCr
7S+gqEVwHafDcFJhRfAlGtFHT8xMNydXvtyKnxRoX1EXWbrGBObLcxiZvNs396lNe6gm5bsE8e91
ArmNfqwXPj6qwaDiKkTdBkXUQhXOFcjua55YTvUnYiB7cFdzO+G8T7YQZToFgXfSuaMs0NcGUwhf
zDjopIAvPBytnTBD2W0I9S9xqOx6IUnXR3AmUZA8i1hD0xPtgcTMFxrtlwyHkYXReVy1y7MBdApW
5JLLpH/slsq9Sd3NAHVXO31Y0rQLzykcbDYcoyg5TmpnSPs3s+b62vEh1q+mr6L13c3Xu0BbeiZf
XV/ZtaisYHco12Bk2YFFM+LVLVdbK+6EniCswcCrxmFLi33XGVyrYYbET1qF5K5GPfDJyoQ+1JBS
kjnP2nmBcTbhNTRbJwKjbNby+9TW7g8G9k/7RBA6stzbZc+e5oCot6GFxCuuQFQ/1jwlO2qniKm3
azABSa63pOCgkT+hhQ6yNvxEKdTIweR9ciolH0Yb1OeOtLzLpdz0w9r1cI62UNA/ddjGRbwZC+P2
qrmDWX32aHjt7uto67+6em3fZ7RXRRPylz5W8kPcZkOW1+G0AHZi+q6b8y1sMrvAh7sW7uJg7+bu
+ErqjzzapnvdujQ7YTvzQu5m3y6DauN7B/gi+2CDNHlf9xaohRPRQxLcVTJZbZ9X2LkpaPJOhH80
unL6Qxxz7vK1kVsKKGe0WndqbnoA195tO2RTUhW5Cc6687wQ3GMaOranmq9RcL9GDIRm0KdteK9E
VGXPS7At+rKC5x9+3HlPeJE5tuoHw6a4/orKVc7nWJOA3E3N1LDHdlthxG7qYe1zG00q/UhNP4Vv
ZmrodIZMgxsgSbBwcR2DNeu/BAJewm0RuyZuTuHSCp2buEEpmmmTNIXqUaPYvKIBpX3uYmeaH1sa
0/lx3cZ1/w5TKotySOg0xu7uEVvxlLcgDLVnqOhUpFRp37QvW4S7/3kcGJUXnSDvnHCjqZPrfIPf
nedEEvoGpJo2fgB+lkanKNvi7BqBNrX91YAfIN+YRadTWLisXsX9Mi805DkERVK8SO0t6d0LrsYJ
wS0YkM39YVn6BXlBDImNniaJkHzf4bJqv3Rxl10Z/LZxQZY2+fJ/7H1Jk9xGd+1fUWht0EAixwjL
C6Dmqp7ZA7lBdLObiRmJIZEAfr1PUfT3xPYn0dZ7mxfhEBdssatQhSHz3nPPEPRh4X2uMNNCmzw1
DCmFAKHTGHcHiqUosSNW976z02qsdCcfOTT9w4N0WNuf+r5VJF8x0XrYr5KaeeMdd0s+6cgjRITR
MCRdFaskLMllv8hp/koh9y9fuwxqtrXMEfV3O5fppGA4wJruGhnPrJjW9Qh3163KPNJcczxlWBH9
sGsllqd0EgAL0xry/V0e+qnbhUVa+NWKLh1KgKjknGvYwDfoP1Dx5W08j+ZciyDGZXA3+dB12m1V
oYvuoey9Ztw0uTeofd8ry3DFFuW6VUvKafxcKAYtEk8L1X8eXNGOG6P9yotVYYNj1uqExy1mj8Np
znOqcUlEBjFgD5Q97szYoihtOexkHuwCl1wYAbTJqdGk3bpkkrdtSOYB1QFbFnM1l2UZdcjTjCAK
0zZEvpjMm83sJJtjjQhSu1/CHg1aqqyI+sE1nokGO7j+RgROpF9HRJvI9VL4frri7ryvRrpHxsQu
QZl9ymDNhbsuDKrwkOTIND0aPTePSuIkrMJhoEEZ+RmmzA99ueQeqtTZ97bTgvt6izogEIcBW0D+
7FyYbdECBOpTA4tzkcZMaT+7NSNLU1hCBxXPbISbjIWxxKo6o5vzIJxbRBpklzJ3/hJ3eODvi4BV
6zLJeI1HLbGHxgeCcQG8ImTXsp54cXBjp16AxDyh9BgIR6QKBwW8QUYMua2JTj7DzyLPVrrCopjl
XXExDD4qswUGI25fCpnGZpkROAIGvb/LRBeWF+0Q9uVFl9j+aI1p8mdkNg9vXlv0/WqyHi4jncRD
Yel5uFNI7O0TdQ8ctcSw0kuLWh28pmGKSieqDcTKike5cRq1AWgLI8Lu5AS8FithD3xnyC8dCP2I
SJRnpAfC7+6hQDEWEQYG+h5QuupPYStb7zoUIPGBFCRqPe5HrvVQ4qLY2e+h6E7ybD35oczFOpc8
u9EtsuHXAYQC7ddpJMUYeymQq8+wO0CCbMdkT9d1SmaCWzMjd12GfmQ713kfkRwLqIlG2yHFThOb
fpGs6slD6Gw6xnPVB+h2BC3HKcpHWXqfsixIXuS5NNnJCSrz+5mbt6EoB4pyV7UBitmKFnankAki
Y8W76q1heGQjiciOGLEgPl2Xispv4F8RLjgJs1zD3zKhaGUQqr6ZiHDiyWhPQX+cqQTIoKcqOCP1
BlYcKxQllTsw3jRfynIKA6xzNM3rBzi1qTwmXerCXT7Q+RWts16OXUmStyotF8UQyT2P5FSljrb3
XuJz9hYgMoO9orVMgYzkmp1U0xVYO/x0jokOWnfdqUQYSI0wW6Kaa/868zgHmo3Swz8yB0PRjRo7
TlbTsPjheuRjP0ZlZac7eCIH9NF0arzxPNo/ykQE9xi3D8u2SaC32HkNGuOprKZxzamEoe+Sj+YR
57w41kEBWhvPkYkNjxPa7JtUqTZmpq5cZLykeIJSd4paBp2MMdTxYzcZ71pwN11wtaRy0ySwGFmX
bJ62LWIltoEp/T1FjjHWvDrsH1Kl2XxldAP18DjC7ydirU2GO2dh8foZHhxozvrZ0fQJ0HAoIj7O
OA/E5TmWBRUGYYOKQ0B/LP3hPp04isQQUILWqDJy5sEeVizeqgMNnq2Z1MBNHBLPkVMiuiXbEuOb
B9iv58UtkQ1E4BMSGG4zfJAozMbA2BjL9jy4qAM2Fl6ZIhU0Dg0+zn3TJK7Z5G2SpzGhwriXM9d1
39RlVR0nIZYSxyi8/rYIqCuvQi0cCrY5CzdSGq/ZgUIp3A2g6HqNZaKuNx1jeb8i6VgGoMshuXXd
OB+LCHxgDrgWgCMSwxqDdtuBtDzO83Dbe2k+xjWzQXnwvLFatrAfW149htikqEQ05FEvzYTHJ5E4
HYXz14WiNm7bwR3CJkDBmWb1cTYpuwV7uYVCAP6OwDlg1BBSkTx5C+jkGwmFzHwPnGkasRH1fvA6
yE4TgQycYgE80JfW1PsaE4rsc7q0fRXjSkHwLosUlTlWzHKs4rRNDPzLYV6kLmCRJkWsHDd2PzW0
RUA9crORXZqMXGaRx2B7uHEqPD+EXj5qjXTFFh0TFp9ilS+9cvsBogwVkWYaSjzGmHe9Weydyd50
g69XIxy1fTAxK0KDh4aiQluNTnVpLOjIofUZ+Fw8ZBxOLysffvPZUwlAg0ZVbdP03p8WrB7a83hw
4CKoWFwpUpJVAzRsjJt6BLQVQZc36VUOHZd/RU3byRsEgmRjNMMF2qztnLAmmslCUcEoEwxfvA6p
ChGD1EPdIMtmFNt0Nk584fhS7rFHgcpPrA9KEdNSFOS61M6HabJBU5BmfVXdzhDwFxuS9341Rwxi
+xEAZlovGo36AMgBN/WEohC55kmLMGrVJxdp42fLPqD+VF8oA5w24iZ08Es3affmszBLL8mS1KCC
JH5R76wcPXINiZrgeKa6cHGY/9Sz2SC/0XUbkItMFWOqwuxL7areQ0DiMsi9VwJOefLL6nyFOBqf
VdApk0P3hwasurTAD4sY+oqhtxE8hwJy9DlhaC7Z4NW7DDyL8cWRWfWrhPNk2Dqs127VMWOKdRmG
sl0RJNIMRdR21Zxu0A2W6phQ2K+BfFme48GQltas8jRT0yEZfCFj6ES0Yis4Mfh4oLKkwjwbo9BG
H/g4hQtqlsHQHUCCBtP6FrVdBBw2KCJo85Z81eI2KDd0skH7JjJWlB56h4AOIZLoYWLy1RRVCT1X
gQnZgM20Qp1IY6/s1JYTQ+ZpXwQylA/wjK6Gk0NrPxl88YzmFDXIFDZXTGTl9Ojh2ygvSoMhbOzm
7GaNhnSUy0gv7bmDPiZeU0wovsCXhcHUnGh9NVdBj2alsyHHA04LYFYixqyFoVv1+0rVX7IZ3TXo
VLOo/LduGL0WxYBgaJiaAXLbEWk1TXfoVWPlFcPioVEqynx5LVJMIz7nuWuKDdW09hzOrglrhCXz
LruhKPfxLBMlKNsYlEbtW2ooczIaAgW3ZieolR8D4HMZ4l+A/w8vqqO2eDCebbzrRmPgczOeG1U4
FsyyJLEYW/gaQzZnunKfVph74SahJtx0Ao0PXyNH0bZHiFI1c/GCGVKDTjfrRCZWPuODPDqDSdIJ
1bXkJ5RFtL+ry7zoDkKHrtl7FmHmn0PfT/yYn2u2jW0qz0alIM47NT4Mnm4829sMaxxs6GOFyrhe
z7aS3WXWDxC6VMwX48elBIssln6PIU8WljUsZjrtDV8k703yMXQ9Fv8a+Qb5uBy8BfnaKFnha1ju
ndHhjHoKGdRxIKbB7uamVuGuA8rutmXBF/8BqCJjh6zAJDA2fgUCwBrSTb+TK9ybC7CtM6LmbdqO
EBuHvMq9CM/cBTf9TDFrZLDH2PgBqNXtJvMCzHt4jRHPHJWIWJPR3E6GrbpUMLobJquWnaGT59ew
dCPOKmB6GllpjVVBfmJB1/cPrIer+pvQ1FYnFLaZ2JQsterOOYxmVqWWuYY6EeTU66yuS35MdFkX
d07ixBxnIov+4FtE6lyM+KwEkePzwq5zKyp9mPJOFfdo9LJkjH2Larld5Y2sAFtTeLRlfmzxMBsv
hvcHn80Kc0Ah1aYANfhsYSw+wcHQ74NYKRhgVusKo6De7lGAdTixg8hNd419ugbwDDIORmmo3dR8
F+K0Q1ylWFos95ieJNNmxJO8UcsiTmiiuXckXqJQ2HEf7nXkPMaTZOvnnJttkYuWnZaygcg1IHMz
fHKZVTCtKCysQzaDNtOcRoHjTGDGSUC68ttejjEHsNF/rkYqyXUD24WebM5WrwEwjYkhfV12ixrz
WFXOFau56s6JckPPL1mX0HpPIS53u7Y2NlzpcTb1ifTwqQFE6mPe2sydsJsMIH4QeX0QeBvMKIds
VUqt0HaatjeokMIqC58ngZj3Y7LofLqFJQMdgL2nSbe8hjUL9YspGr/c+yGkjnsfqG97AYF2N3ws
YUmN2qZmdDoF1Ovnr3PLcnOaZ+31APgmIuNFoRyJgC9bzFayvgfZrx3ohfWr3sXDjODQfYePkK/s
QkgRgxvPMTOn9MxoHOVGgUx6WY5IBr73XaH7i25YgvogEHu3nK+2SKB1UMOM6PZe0PwFMJ8XrnIm
PdPDrBX9TNzXuNurNSrrAhskFtJzm+86466U141hPHte0OFhkW0HuYRh5zOoDOAqVBIdU1e9GEsP
yu5MZK/2vD++CgulOuwNmN63jZqDyMd6V96FXUcGPHuaVe0QGdlD6A+ICUFRIvUzfxUS5oFeE+o2
uSSpGNwGyyi8EMeyzsa3IZ/MdGoWUbHHbrKconlpc3uYZ7FMj1JUZrw6eziGu76ySVTB7KaNUI3q
M1huphF7LgaY13KelTj0KZQGlxiUVPBgQG28ANpqC6BWDMGVlA3PEK62MoKwiLj1xE0B1K5r01vQ
JAJURCNCmW9zMBuxLyJjA96NapSJehDGVyD31j7mWeO2Trq2GaIMej8aNRI8gjDG7LuzbwCSNMBb
ADb+8Ay0Ysm8iA8oX/OIYZUdgCGWDdQeEUzq0XduJshDEQ5UT5Snn6Cwnm0XWYcQm3ZbjQPL8ti1
8A9HHerziQWrLkxB5Vj9S98NsOf1mNxiUhUOsQ9GUB95cmiTGEbJ4X2IV3vH0aXa7FV6xn412u/J
nNdMmlw1pO/WQAsWC16rl3j7f0ns5E9zT8sdjLqnaeXzvLHRMqfsCgOr2q54AvH332MwvQ+f4zOt
q6buy7WvnnL6kY9/j8/83lCIleGIcQ3eN8xuJUCLjP1NCc370LkGhocqyYTYYJv0ASKp0b/osVr3
u79mL/2JYRVGBj8yfQCFkQGMNEwmPDx/bdpkw7FyXgMbwb4zAJzImCMWQKiWXE89oFs0WLnnx403
4Tr99Yc4s4r+GdvoHbFMY0QzZV4nNg3STMtVBh3BBciDbYx6DeNHzOLkT8wv/oxM9Y7W3rU9bjVw
ijcwBGjF3TA3iV0ZjTp35bAzwZ0UjiQlqtJprn9yhv+EZPnenSgHPwy7CWEbLpHJMcB2Zt0Ca/7J
F/qzd3/HPjNI9OtFqhiYI9VL0QUPTprk75Hy/Hf0UJTpbWV0wjYzYj+itJv3mS3Dv/nm7xhmQxAM
dWM52wCDXmOQmkVJAOTxr2+oPzsr7+ihyTRmA1MZ32jf67Gnj0kUpNj9/967n4/6B3IcKUwIdhDO
C1kqePMOCimTS3P312/+J3eoH/745rwLKmemHLdLKhR57YEpudjnM0GukCSViYwFG3sHXQkzfyue
L3zvCJNK7QRshNgGcajskbZdf5kHgFf/+gt9W1z/ydP93g9G5HMIWEjTTSVVCgRa1bPDcAX/vc3B
wB8oKm/8n5oGNd9mJv+YL9nHAHca2yV9ZlP0KjpdI53xdRpDRDdHg0BJ9vun+9cfcn37f/83/Pyl
MWj2dTq8+/HfPzYV/vzb+TX/+J0fX/Hv27fm8rl669//0g+vwft+P+7qeXj+4Yc16vJhvrFv3Xz7
1tty+Pb++q05/+Z/9x9/efv2Lh9n8/bbr8+vVVav0PR02Zfh1+//tH/97VewC33xTej+r388yPff
OH+L335dPb92z78816+/XD7r5+6X3fP4Vmb//F3envvht19F+IGEXIJjRQVFNOZZQ+Levv0L+aAC
img9GAOgJyMSq3iNKNT0t1+J/yEMmQKtLWQBA37w6y99Y7//ix8S7vvwIZIh8UH9/88Pe/37vfP7
RcIZ+v7zL7WtrpusHvrffv1x/0Bzq8A4Fhy5tPgkSry3B8rzgUxgmydrBxJTnk9bTgFJ9GRVTD8L
5PlGu/0/d/P5uzOugkDigGDB4Mcfn1NdeaYxrE/WrG6w+I63c9Xu4M23qfEgLar9VPksHtyjCjee
WK7A0vVj8AJKTSLsLsepNNjSyU/2mHfP2PdPFRIA45iSKv4+XiYxWaM4CIBrMPfWQ9HuS+6G2BGx
CXS3XriJhQf6FJiGsqgjTANXc0IrcPfgiAnGEDE/IV2Tb+f83XmSJJQBC4FjK/bePq9KhfHAzUvW
/WLTLcnpXqN9uUXsXnI1pakfgVdQXpkSs4Vo4ssBXn5VDBdxC8fHke6XtP7sdTW7gddkeQytTI6U
Znsj6g2MiNHO1+6zmL6Uc70aB5CdmvoCVI6sQGg8Jn4IIomI1ZHi3jrsfQy+VdTLLG6bZdWmLK4J
u/BhtQVEbGNovcKA4QITuo1NswP3bh1pbhc4cBMNXmQ7xkyCuefb1bk/r31y0DzZ2rY59Zzssgoj
u+4Jzjd7D5kqy/ji1cczpxU2iuHBoO0nFMzAh9GOj6MtTNTBsyY2k9jT4SFxdi/RUpXwQg67YQVz
+Cka9M1CkfiWX5aSxQvmX5jorSuRHBimSgVNIpWUp5m5u2qsD2H4TWuxQ8NSxbYaNm0OdqjnqgjD
1BXhCsMeF2FAdTGmfNOHXyfhAGTjmKVbG4wyz3O/nj1iPnLIgaqKutgHJYtsaaMAxC5MlmJwSYGQ
OPix9zg9OIyiK9O626ZjsA8CYdELd3aAi8TixpVgE+ZG3SpoX1JxRer2VC/oXTDucUCxfV8dDMWT
Ocq1n1exl90Vrtl53eVsUOyq9HnMkzWlL+3UfO77L3U3Rlq2UaHRHwI1UvN11tU7GYxxJcUGZIEY
yen20lfM3IFH8FmLyruYW1w5YYsrD0YUt2SZmiHWuLXIkKjrBATZLzpsE/CNDU5aBSOoNJrq8g09
fXpDFt08K6jCeRSy80OTYGQeJKAbO3onAktAiSKA3J22n2Bt2UQ2VGf+q1DgCpW+fqhMgXZ0DlF7
JPXSRgSjBlQ5zFZ3spjtJgCjCJyRxQuj2k1zh0/Bp2eGjW5Xs8qCldaO+iIdTXYC++CKdT2/6ZZR
3IKc1f7euPy/3v4usi+gTTdfh/f73w9b5v9Hm6RQQKwI1u4/3yO3zfMfN8R/vOL7fkg/EMUZ9kMw
QrlQZ6uT7/th+IEz8INFQLC5hfS8U37fDwP2AeRF7FOBACYLswsUed83xIB+kOgQA4hraYC3gxXa
/8WGeP5gwOslFl7MQmC0/eMmhRHpWLPSuXWuQeufXLpsEmyScRCkTQRn4OknLjXnuvqHxf7b8XBA
xqiP84GT8cfKuNRhX+DeR5gc7QHgUP11XLAVz877mUEBQmL/67GY9FEDK1C2xH/ZWNA6kDBMU7cm
gX+O1mDMxK1Og31OiLkoEj1eWBBstyV61pVuO/XKSySA9fVU7CvM2SpwC4vgALKx8c6oIS2iQunu
kZaY/EWZ5OwSbJDgcDbte5ndwpK4DwQWgXyCkVZULeUkgEk1bx4s5yIui+Aj4OkBC6nI2uA40A5T
4DMzJu6zJVkNuaBvmCA36146jAUl5nJf7eSlb/pslFPUIlw1Sblco9HmIL+0s962o83jwg7jTc4X
+PP4yh93iKbE1l2kCh/FAo17hFJ7ySKStmAIZLoUGgvlLCgY1J7YmiUEsQUjEQSEWAStTVEPomET
hWLsvgKyBiLf873QuB8C2MGvPVGf6pl/rFlWmFWRh8lh0d5yzCCXuEb8wmlKybCmiT/GOjNPXpXm
wN/JTU5heVwzcZqxK0cZWLhRa7oWjvVedwL9HW4M1oJWh9SlqAxUCb8zxIFgo2bFOvCm4uDN/VMG
OlyEeAogr23WRFx4EgRScTnUeQ60DYzDtIDSPZiGNfPUekzqeVtochN06MCIdwvlzwqMkz4CHS3d
StSpq7JSe9Jil0DThsN3XR75gf56Dt+OmM3xl3SOhI+tpwfHOh5LUUdN2vsrTnFwwit/NUr/BhqV
PrLNOROs1s+awMoVFu7YVvWLS3CrB30pV5jLbDPn30DPDldQnNEiTNUqoendEOQ6Bjr7isHGKSjA
3ILWIIaEYOsbEHcyB9I/6cObJCygJKmC15xXG/ALQFy1wzb0868+4cW6SLonhh8Q9nkJzcjXQmWn
atAHbYogLkbAk2Pa3umOw20Jbe88HtOk2A6hd4IBc7Y2CiWGnM6MwjZpW33KQ+r8VY5wz6t2YJeZ
1zxB9WVAvAQWGrry6KvpjUMRgAIaJWMBJQJIkBJkSq1qkISdArgKh+5FAsHNVJujvpCXZE71ZZhM
L5CjPE6acOjAwRkswiLDJurBn0WD9STgwoOwkKjx+iQmAuqtIqlRAeqjTgpEk3TkqfAVvkAC1DTB
4UqXvSSMntWBA5haoYgxeo8oShcog3Bo7ogH3v0wrjDEcTEu7E1azSpOGjdHXln2UVLhQYUEfvk4
QNsTJb346Hx801pUpxHaqIj65kVpmAB/2y/+d3P9SQeKdSrAjvPnW+u1fbVf0reum/+4w35/2e/7
qyTYX2FOiAaRgfT3bRf9vr+yDwz0dYFGJ8BS/8P+yj8ISkKlIIXmSpKz08x/7q/+h3NrylQYou5l
Z3fg/8H+et7PftjvcJtJ9H4CHaCPv74DaxieKN8a2649yT4lk42xtteR1lZgDjFilW7ttNFKnEz9
MzeU970uf3fo9yAUyA1F4fftWoFHFWk4ukRpjiFikby4NpA/AW/I+Zv88ZsK4qOAkOgrfU4peS9E
z5Mx5wOt580II/4DBipDrHJQfbCaFPBoNU++zvMtrnS7LiFNWCsxQk5ofLYauX0am7qN6KIf8qoA
lV1cwHw1BrOWRYOfPLZtQnCqBkgsmvwYhOA8/OGu+ie4QPBPPj6KLRRWguJewQ31rjAhGPoJPrZQ
GEHMsBNYPPuoGbwuakeKng79ZuzMLFdLEU7X2IWyO5qwK4LUJfhXSORg2fapWLiOc+l/gjf+KQ3p
ljTFixYjA+M+2w8tlDCTw++SyuWg7i1n3rbc8gZ80xjM8r1uif/Rq33aRUnZ7RrgzPOoEXd6g9jG
GAyJNaiQt5TlOz27F1CKoEtCkrOtVmDeoG/JihuRFremnO9o+wpVhI1QVn2eoHDYihlO1ENYiYum
Uw32I1PsgebZPaZ7sJeH9mbFJL7MVIcPFHQraB6I/sgL/6b2yiwqMYS9hTVTeSJ6mp/zahDbRgFA
mdKhO5Ic3Shtax/Ty0B1KxrY7AqTQGipStfufFHoDRPJtGIY1x6o55ITiPdLRCH6uXZjQneII6kP
Q99IzPzBiYBxR3MFgywwOJXRNqo5/zwViVozl5IXw5bxzcA4Gnzuo4N11yW4nxqOvBLDzDwsmg0g
puVQWxzC50tMxzrYeDD2es2y/DXTDd+D0KpiQlq3oTy48XrTRc2cHpKi/JTJ9NBSda9BNYoELg2D
2mQX9HiByUGLd1WSo2ro2wvArevJNh8FfOl+4tHxTYj/x8dJMp9SPMLIixdQ0Z4RsT8WythkgtYM
c7C2ZVnrVcYgKopNO6RFXEuAMRxL18csI9NpSa33OUXSVYsBJ6iiSQbAQYrwfiIjUIakPjrQCd6Q
mYKJeuGX254lPRQCvX+bhk3x2LfWXogp8b/+76b234FVgZScMfm/2tTq/Pnlxw3t20u+N4z8g8Ju
gfscMGrA6TmW4R8NI1YoGINL/ju2iiX9e8MYkg8sCIRQQr4HUBV2QXQ4Z2hVYJIK8P5/sp/J910V
9tNz40QUoQx/3nsnaa0RG1EjGgXVer/rgsI+1xk3aCnC5Dosvf6IwfC8Kj3aHOsRIgGGQniPojA/
wo8viC1j8kHWM3tVHcgsLRXeRgRI4gMndDp6RZ2iN/Q41DssOVBkx4B3sTxzS68bULJDS+aIT9XR
80pM5JQUEWjMSIVX2eVZ0BSPS/ZAGvqagCeJVKbqUPSYUZKqhFtd6BfTpjXYe8F2ydZZLoL7EqRi
iUF8Wh7ChdYXppiXqzoQ1RcLikXMJecvc0bSHY7nrrCdextCPY1njVP9QPyRxZ03mphCubECybf4
DGSmBKUbR02qUFcR3BLN6+iH457Cl+ARej+39+omXAlIV1ZtXd2YrGiQBJsOhzyYq73r5HRlPSkh
2GdTGPU9fCOiopnsdVpO086DLunYaGeBKPdsAmsIvVQKZ+h7JNRFGjPyOwgq9WWfggpNEiCGXiWu
Ca3H+7MI+g3RpN1Txh29qXyQFBtfqutMQqoEhQPs03iS3Y15RfaKzA85eF7XiJgPsHS0bG9xro9D
lWSnMZX1Axg5/haqxjCCzBVUV13EXduCyt+a7DJNJfDENgug82icGO+w2leXwqQI/QOfdYF3Vdxb
3j7xbE5ij87mC1+SrzM0QmBzq+kxJWZXpOxgLSnWmQmCm/Gs1spkXlyjA1dPFLSBE6Q+9BhWXbi3
GA2/UhBtQJLrQDeD2IZBVBd6l/UC6kfkAwT5AkZauzVSV/t+QmNXpJ07VBBoX7qybndYyYEtBxLC
1tojF4hXe4PjZUCewhxH9gOl7nqvag4lA60f3EsB9DgHYXTRMxjLQPzrJcJFqK41b4pLlS79VoEJ
d08WJPHWpe1iDbbXY9Av82U5qwTa8NE/zQRtKUapSBsWo1uBuAJFSYBc04vKWTTnaWP6nZ8m4crW
0EOXHv9qHfooKIiGdUvOivihneK0IdN+QNF2yZW41xQcLVWAiZtlQm6wh4mPqvDAECir8pkjDxTi
vizMYsa9JEoKHazzDu1bu8zzZqk9aAln28QemOkrbht/TRfILzR4zRcVh40Eaa3Ylrlf7atFXNVT
t0X4p4mEXMxFIhO6YrmM2YDx5zyZ7aLHCEKGqMsTSGbmGhOH5oWl8zagZXbUDL2VsX5xYyaebWBj
0oF+RiIaFHTDA7SrJAHRWRJffioweQfS69fjTQD9wS2vzSfKqxdQadds6U99Lb7kY82vF1he74zX
0Q0mpgkWn/M7Vh0kYxgsllBw3Lqe3sogm4F+AFJHkTnfaZWBQO2AnyTw9oqnrHpFyOxlly3Tmg+k
jgNYVN42YD4/ppD8ASoolm1XcP9KNPkQN9DUH/0cKuymD+kapCTxNsgi2fCGhxedDfEwoYxeg7Ch
7kKU1Gs6UYLFQ01xP45t3LBm2eA+hnwpmNEpwOpqetTgf+9DkcOgFnKSDQrx5jAJL4Pz5tjDGz6f
91BhgpyB7Cf4Fix6QYxSslxLvbCNFiEaW9DXozmZp5XucLVnqAJitkC7FyCdcFso+Lh4CZplM1tU
rRawWkR5+GLyIG3x2818Gjo/QBs9TAe/aJLHufaWeGwKcxqUGw9+O9WHunRyB7lb/eJYPRxRqfmx
VIV/i4fcpFGWigQ9esszUMpceM+zBg4Kw1xC7g33NxQucCK67DUWvnWayXCTjzmU8wnXr5Oq7kPX
wlxszrZeiQwhnIhdSWFpgA2DPY21d2N7dzln+ObQ7qZjVsfdODMN5IHnTx2Ga+uqlHmcz8OwgQwY
Jg8gWc8RZBtsHXZpj6mzxfM/wI+ih/50O9TMv+5FCZEwJjQphDhenYwQIouTzZmNbQhBbBHSY77A
RgQSrLt6Gacja7B3Qz+OqObU4xnEsu61kGGxc40OVkkyXqTwLcpD0EmK3PsP7s5jSXIkW7JfhBJw
sgXgnASnG0hkRpSBczOQr3/Hq7tHuntmWuSJvM3MrhZZwdzdcE2v6tF5Cw6CPOVAWdfYTOvOklSn
Ww4nuGNgPJ0Tq9vIimk3EOMDiZUXKGVjECq+AKyvdnlv6bjoQ5FUhOOVm9jRsNpJpI86rv6k32G6
XMMV7sBnxgT/qLulOvHVo9JX+0SJj7Hg1C+zZ3ZDV7Mif6qxvKmw3m6GUdNDp0y0CCZXeu41PT/O
TWEfPFgYEeQu0tJVYH0MVj7FeJCLA0+JfT0mLSFOrd8tpECcyFCKfPitW+59JmoAQHwZ77xqaU+N
5o0/qKwaXrj59hhcuGQUVb0duLDHHiGBx8HNDMQ+ucHd+S5NdU3y6iSnfL0aleAak5o8Zku4FQSF
aeVAENRBd3CozoZ+1JCvEF+JQc2AYRiF0T9HAuK5tWtK7qGGoSOh5hahoKIqYqzwmB7ZCc5+e2Z7
KuBw5j8GzHl8FnXBX7EczP7JElN3bv0fb7amPzNvSa7dXPjhlDjmyRl7Wv3UBO00bppp/Fp5DP3k
q+7H7ayX90aRtreAwdzxeMNv/HwrMn1GwrJYLy5FZd56lbuHReljvLSwPBA805gKp94JM+rLXzl6
cLe3ybwbuho8rrlMO92sjXj10Rbl1OfRQuHQkwbS5FCRcq7oNV2SNLbS4ZkOEh7SnX/naw6e2srX
XpfMW6O2YUQRevtTtvP83BKSjjRuwltplzy9LasKHjAov86euic6UYGdTK9j1m9d6RMStOS7MfYv
Pde30KoL6wFdpdnWGDi2PPaCS51U3FoXvfTec2cow4axQjjF7zy1d1Yj9uuQnfAp76dxYmk62dx0
Vrti1VZYTbURuHLKId80rBW3ht7tG0feL5r+SK7qNw+016lX3wOKXzeTPmmF6LaCFXPk5uBknGU1
eO4yhSUpK3jXi5HISW0Oth4lAyAxa7G7K/UpmKRpmYqn2RtiilTllXw2LbCsLW8m3bzFuqpbzxy/
/nlZcZyHuPLtDSN8fTAIHlp2etWbIjsRJNbiTBEb69YBQbjnvoWIu25tNTn3BnZwUlYkuhlgbwXL
J8kLHXWlvLj50By1lIDc4Dhl6AzmEOutFRwTMxtjAzV7b2kKQ12vfeXE5PZLV5bnyV94RCedu0Hl
RKYY3Dlu1tQ5D1Ni3DN+d0ffU8SWm0kcSTmdKm3uPmROClEBuAEPlaWIncstKTCO/iMB2PYuSAxj
h1n/yy9rft6gbzcTT59w9txDp2VLNHTje+f2X51qqFcyIWPgati5Y5EfE93Q3pys8t8Jl2mbrEu1
F5gFceXebvAEoCU8I6X9zFpSbZgo3QdgFSKa85oAR1D1bIy7ApNn1+25Wrh7oi4uf9RKnBOhtfee
z0NKNLf0Yi3fWjIiWMD9/qPJGiMunO5GW3I7jYPHwtM/FcMWN27PeydLopQEFe7TQNu6HpWaq2M7
O2KvyUu9pN2DLkyfZX+XPFp9a13dDGcqMxhba7Os33oBDseqJtYljrM8mtQoET0fy29UeG/XkTL9
Ewd6spup9438jgma4iH7bBr2WoarVldfGfn9s6NWAjwGPLRToy/ZkxBMecTyu+x10EseGSXVQaZM
xNUgR7ATVqVfDQAZsQQnE7rpMByStTLQUmrxSbrACBPTM+OJ/f233cngqvmt87rgKadsFTqOa8nh
Ixg68VhAn3uCxGEeJwr+eOSxrOdPT9K95Saw4ROTR0Stebiy06bMcLv2TsrARqBApkgzGoC3q2ep
JHKnrr7awzicsK54mzVJfqZ66o0b4sLd1uXC6Ia9ZosO5n8Ycw/hoK6sx2l1h808Gt1JDLnL/Ok6
+4XkxCdXVhjrlQh+2jGBOMUF8JAufnPniiy7Am3J9o49MpDbdXdsqFnjqWEH27nufCMys/tCm+qN
FDeCQxYYRzIU8FHMICcW1d9VeooRbGbNobyxOvprgXzYmsGBfLx1xm1e/Mkv2lGZ0XqnwksR3cqx
ScKpXP50kvX3WBXQQ+gSi9rJF4Si6JThu2ShrQTnZ1knp4Q1BmFeJkcjuJjtUgB+c1SEMJe9ZVq+
xNNafjQAn6JbA+qlve2unDXfUom4RBidp9PNQJWGY/3TTfhr/Co4NWOwbJKetVC7dPlrmpps/70Z
C3jKZy4uCf+GbpfWsZS9cbYZwUBgmfUL7Ar8FY2uXgW+pFDr9Kd8EcnWTrYEJ3aAb4pjUrEnnNzY
ExOHy8JIDo5IE8ZyXZK1IxJBFNRa5rvcHn7x9sTtPlc5AA21xqTjaNcaO487t2vv+hURFpod4BbH
4o1K7AAmXO7eSZqV1lS/Cs5P+hJN/TYbZNum07SNajXWh/aS7P28KvGnZP2DakuwCOnQ7dUQrBvN
yas9T4r8aEBUQnut/Du5LvZuWD3odI64KM/SBd9LF8eMiBcZO9SzOC3Y6cZGkwwJFQvmm2kyPNnw
6LoyD1XZlJDgWq2IGHz3aXOGXY3TRajpjJbnA4zQZvUEGa3+qBKTD48FGuJ3jydDo2GGdPUtvzjr
ka7yh6o3tMfZdqqxOvT2LQ8ygl9jzHTUtamK+pqPufHJE7C/tlrJNTdlxwmYCWv/mhmziAwteJfW
mryahrQ3nbpFAMds4X5a1SAs6r4wdm4VjDuvFe5jzzL6uIyuPDhL4zxas23vpDL7326fB+wgU5l9
NFRj/J7BDpFsbvkwKg5P/jSk7DqjOYz8kPvAZMWlXLuIsuYWpjR7+5279ITZKKuexm6yr4VHI3BK
5eVKmqa/s3hNH8zK5IdZ/fFVmNNPW+bmhptQdkx1ZdwtBv8l5ySI8EsrdAOnK8Oh1ow7nrbGprIV
aZAkrcJl0c5aDpejKG2xJQSeAgXsoK2x5s3xujloPCvF8Ve9Dbwnr5y1TVABrkEkqS56pW/MfvXx
XTucWArakruo4hj0FljnsXkmG/ZFcuSyLiQa8in7Lgo7P3hdf4HfZBGWmslbWPPbwOXH5zNMLn+5
yGD5bLpaO2Z5mv7N0fY/vcz7f8gDg8wX/EdF8+47G9J/McH8/X/5+4rO+4ODDD3bd3Uf+fLWSPE3
RdM3/rgt7mwHgS/wdRwv/0vRNFE0Wd0FgevpNlbVG3n0Hys6D3eMabj8P6QTb8bR/46kiaz2b6sr
TmWfTCfZNN9Cbv33hEOm3I4Zd1x5NHFQRU3llDVrbE2/pF6Psdgbgq2km4u3pZNWG7Os2NG7dblN
yrmDi5dzoQcNlcTKymD9JLd5xzRHT4Z+Mnn9zqyZ5megRl4YNOO8EcxbRlRnU3/E2Ny9r6RBYgLA
5YEkXrqvirzfS1I2GzXIdM9Fpr7LEITHsBOjCmI8RQhJFd6ylKWFTSOhafd9fTD90j5lc5YEoWwh
B+M60S5wv6DyUNPBh6wKZu0HDxxoUX8ygl9Z0PO50if/0jh5diRKqAN4KVbWB5g13wbdN+eNwenM
Ud96ehP2Wa+YUizYnCqv81eAeR/TqmeXrM+eCaetkSMqdXByJsQb5uVkmySYkn50n9zVLi96lpu7
WWnDRvdoUMxw0R1o0SSgq/QDy7ZyK5p63QT86TYAYtNI64D06XU6cRCaY1QE/sUn8XIySc0BQym+
TXo+Q+k22WPiO/mhBk+wcTy1fM5r455TB1Mk91+tBpUPbK6EGWdZx6LJuFwP0DpxhcC5mrnsOf5J
GzGsYNLTMOFxNt32KfOUV1xfPf/FEKt+D3BlfiToWwYHn1gMkmIOpK3gitmHfmUOX42XTt1hUo08
gdow+1AHLnxHUBJ+VwVhRiFAsRQl/ArvDAJtmzJWkr1lUmxFcD8oYUI0Gj0bHAhRpOMwD3mUoNih
NCV+h8QKkT/buvZgoZcX+ZUcpXnNlJZ/aphztskwYbLJNRLuTanKR3LU/ks7DrATRn8Gf1Wpu9Hw
Sl7KQA1LaMMaGkOTe9STbzQp80lmmW/SmdzXpjVosGwZ7x4CnG13MC5VFZNybPbS8co9d/cJI4hU
y9uom+JXRybsYeBOsbG0VHSbPGO6P0/8SmorS6PZOEvZJxGbvOyRkmmf2Geh38yo87ZyADSiKahm
37VecwHDOW6FejJ77gwOtC9PS1+bCYmzoZb5ynzbHYzByz9mr5P3kH0w3toIVX5f342zwSJg4UpA
g/BD0ZXWJefmsnXBvUYIgd0lKB0qr0vHgZgoF2xAU9+DP0TRYj/bwlhbNzLI+zXS2tmJbU2ffrw8
+RghX53zzqovUxfMB9GCsECe87itcJs8NwtVvPU68Bz3IZvfUWnG8ri+rd8kyaVka05G5kW9nnkP
dVYOr0bRp/Aq0tK7DABF32cE+ooxsyUq7/mNe3Jakm8HLgwkZWtYvNlGV5a/fNoUj1pPg99N8YC1
/LsMpoa9M5g3t2XvB64d8biTmfGmCZqtDmnuORDKhfIhUljo478tN0mCc90Q/mOwszJeCvCU4SQ9
v2KK5stHuqGWlxSXf+zIsXozzNmujkS/OuT+osgjCFQy32aSYzq87bKKjefI8i3L5mkng15zIg77
V9kF09mwxuGqTXr9UrLT8SP8Ph4jVznr356Xe1SbJ4BzWJVvVaolWzXm+NZqkot3rD2WX/WQGB8E
/8rI60dnP984TbBcxNbPx/Z5ykxjiEp9BVASlSxYvoUaG2zRbvKTE3/dF55cv/sJNkpt6nxhA8Sq
AEyw2uyuBWDeZ64Nt0nRG3wB9K/x58cF2JLaeMMwA1Ds+KcHkQPNGus+mdgaEZ3eJybr6Ju6V5WX
uvJa84B1SHKvNbMJOzTEmGfyu2bFKHkjD7DqpcBz8O2blO2A4sHdFxSX2Wk0Hi8CErKR4gZZpUEA
s02a3RI0a0TjMi9lKe7KoSrPPdAO1iTzPIdwh9hm8eAJq2loj+hCK+azwJ12yzxXF8BL04sDQ+o8
Yva/EcfN9lP2/DoRhWy3KQ2mgRN7suOGpmn+uoUQZgUIf1xd94UADxEhfy+/dbvLmRuLJfiVdhrL
pTbPEKVbL12hSAFPgpngrZa54UKzLJGdOfZtpdKUj4PnDSaSa+6lp8S10owdghQBT7CmztDK9f5E
ORVBfwRum7C9aU8X9Fx4W47Lp4Aly6lZSpbtCYv6UMvRLEl9MohP6fjozXLcDmWvf3Xj+mgrbDcs
MBL5pM8FAW+SzpqOnbL3MH7VCrefuRbuVy/QoWDcze5bLx3J2Oq2udjDjFDpRnbu6oZDSoKcMxsl
H9fn8iOoEHtxjHF6GhFgi5guhPHJtXCdkYpEm9ZM+9EYOvtNG4LqxIFtHwdHa0Inh5o7TctlpXZw
jqSLlOY7xXkN1qM58oENQYWs31UJ6Y8Hjr1AGljhiV6zFDAHlr7AJWmJsrtsh37S6p1d2tafrIIx
hbcaANEHS+jpi5OSKuWr6/6pgI4ldpDurJd8zjnvPN0d2yNZ6LHf9ISf7zSSBklIuWDw1pZBtTfq
HAhBYeudtXc0g+t9Aj5m5krBvAYasC+cmBIoXmjQF3l1N8wqHTe+GsqPLin0ux6wGUqWJV11k9pr
ZoiAFK/ulfIDBAdEORNwTyMSIshCOMMTyrT2dfMPmZEjBy/j5i44aPQqtaO0NG9hTrZvd/zW3TFJ
NX3Yu60OdBUKzfAzlKluxZWYBKWffmB7+4bO6Rtg2wIU5mtdBkJRTzmw6X3ThigfqwlTg96uEF9G
dwqFY7TfGDYcUJi1aohjdxZb26n77et6uW/xxv6WNttj/I8J2FeQf84Q8WRayT6goJAW0sUHSmF/
xmCp3rSsJB4NVSi/KKN58afOMRErM9Zonuc5J/SsfJNXKpdxWtXfum0mPMqwZ641aPG+K3jNlXTl
dS5a4oGpXo1hAjCEMyXHnlNiF162dSG7+zwD9RpqyagZED3zFPBt18mP7Fbei3JLBGkr8E++L2ll
lmFBA4jAbWaLk4aM/QJ2Pv0hZmbxkYam2ACMaFYjItvNW28WVRevQAs7TmXJeqwbbDdCH0GCT0jo
R0rK5FV1PVdxK+13PSuwENWojaCfrBsy2DsG0j0tcDffJ/0mWxt9ErvvikpRzGNztPypCaeqtjc6
MIA0zqpieJsyMMm2GOeI5z7nCVtJojL4B/ajKNtzo8T0DKJ8Qi8kW2MZ9vwRdG5ZRkOvd79EXxHQ
WdPU4tJLs0eiNvhB1480cX9UltxYl7og/mgq4EV0mELYWXwURtm4DWIwlYas5NN1t4AduDm7ev2d
JeSsv0HH10imzJZzbykCxWs25D3LobLs9mJsSzqFA2l2HLR18atlZ0mIhwOCXHCDV9z1Uw16RBO0
+57HBR3ooBlmdv+PTZBNr8k4d6Ezlea0Q1MOpZbWJ2V6qPLYwlIgXkOFbbava6sC8x9Mz35R1n0I
+YXAj1dUvzyDIcHMCtuJK1VoP72tsfnxTZevPfv9AyeQbkZSt1oyMEUz3OvtFJxt3RBajG8yuC/y
un/SDWDTu8QtSnAJS919ArHGnzu0OXsEBrTlw/fn9rdka0gSbKw7DLa6xWCY1SlhF1cOz46hrLO0
LfO+mo3hBVZO0W6sFj5LaAl34TkrWKKpTAt2NlCjPe8eyLcVUf9ve1wCYuNrFpwwL1bQHBoPmSfv
J8xV+mLVKs5ZPIWmjuGiLCsb0uPgiXeUTjdaeKuAHZIlL+DYABaMGNmMrwCQ7tGA43iZzKqBoenf
RjA1CuaBiqImhgOLwl1mwgFpaBnOVLX3+JuBc8DfNhM92KW1XeG8n/KvnHTOBaBybsXoBvWGv5ne
RMrP5kiNRloA/67BW9CKAycuVyc+rHZEg4QWqdYyjoaVzSHbPhC7jpw2nKp1nHqaacTseyEyGG6O
OC3WRbzkogy+BbRpXvTULX7N0snPfesEeM5g/VWhGnrjlyUzHJQ6q0ZaPswtBkSgt3bdblj1n/oE
8ne3FjnLiBRCWb7W943n5mYEvBaO6QBhPgRFiKEEYwz8je4rKLHoNYR4P7MiXX/NZVeVuMYWcVmC
Ov/Vmk0dr3MpnihCKd7NpNKfsJ5z//N4hlwVOve0M416GCMsayN6GjY2WCo6uitLIYyAfCw2czWN
N5DFnhUFpaT1E/z20mSHui4PgWfAyrWx2scSM9NpEfDWIgkG7HVIrXQ/rwwXce+WMEL7eki/Xatl
WGwSf9M5XrWr4VrhJazq9CTGQN67t7xVyQvwHDiqfOK86M7C4tdgMoIIpeAihbjQGe/XRT3DDjq6
vKAJ168PL+e0nQNbPBH2e/knQ9f/wU/6v3lvyZaiIxhYfm0vwPr7r+691nEmD4vgumOpAt7V92wV
zg28GjBimBLLIKm///N3/Nc0uIdy4rJywuEVEIzD5/Vv/lXf4qW0WpiARPzzh3ZaxysQHnaDeJmO
GdXfO6Oe0/g/f9MbO+CfTYr4SHQKKED5kHI1jVtK6Z9NimZmUEHiFfMOmkd5Zq4Z7wVUvZg8Qvrc
rj2sm2XBkTBN3c9f3/l/WmT7/y6Oxkl3q1z9v5sLH79yYtjpV/0v/sK//V9/9xf6f5ie6wX2X8oZ
Wex/iHFu8AexYI5SMlrcR/6S6f5hL9T/MAyTfHbANf+WVUPB+7sYZ1p/oOyh01FCovuG7jj/HTHO
d3He/8t7ik/N7cPj87HxeGf9e2y6Ie+icRUftjrI7nKnUWyTXMzSYfEK9sw94H6F+s40Ori7IM/p
a+gw+9ZxxR7/CvhEQ+cyhX8yVWGBvputs9sFBEswHfTcIaEMrfDIHHy9uaxMeQ6qeSu93FIYzD3o
ektvYYpTql3pD3S0KZKZnVwkvXk900vtHtIAt/BGyqrChbvkxceazfPEnpYW6Q3JLe5sRVOpIdLr
RJwJGbu/LAa2jfCCCfEr8O/XAgpYp/napmrXIgpwGm7aThaPymy734qOjK8F6mL1opeJ+6sqxvqd
jLLosS2C2mWHlKTpVtiDwFbo5W+lX0GH6nQTozlMwgIco6rmp0HX5Y5ay9486+gkH8vSUre+LvOH
5VMbE0613l4zPJN6XNVGrkK3Hlcs+aaZ6nE5ajBVXeQtqtmqDBVO9Qb8JgHY6I4dCA0PiyGDjxYK
pfjSa5+ZNWsWjRYcIg1cXlAkr65tOJTcwK/nDE4NBrEAyX0YrHLkiyq5xhq9K9bJV8uAB53B2Dg0
Rt1H9m3FK+XI2G2O48AvwOqgDfW5r0gt86CCYMttKrfbe6xy9ndqGPMLhGWdwYpVFpWYPLyPbbFC
e4X2OW+ScmpfsZiXO7WirTDXS1Jw9dIxMOirdF5TKcbXrmshwHdrQPSrW+3m0XBF3m34CeZXNY3l
fd126UNhMBZu4ZAH+zQbB8JXs3jPxXxTWUwHr12c1XK2Yh/l4Q0HmOqPLiwLkJzZrBlbJr/F3Gu2
yr+cAe8+kjAEqZPBIMS4hyWW18yAX4o3U38eOsUImvgw1UL2tCTMW/Y3STguHhJwwNboVRI6XSNZ
TvMHAQz/TG4toBAkAEW8UTwPqTILKOtiK+lC3CQIV1u7qWp6jBET9pfN2MG9j3WgfTsg/vKMmGXe
zFT+S5EPjM0Fe0dWMUMFaRtC6T3xUKt8hDZKnhma2z7rXOveSNfxNCudO0I5kE0ODcOvP2pA/ycP
cojGaq53f7ej7sVGjfdky71tPGbJ4lLLMFt0RTn1tAnqxv0IRE44pTIyAzec1EQbs6kPJqBCZrl1
O7M/+NY85lv8PxQ/NbqEXkBCmoXqNIpHezUDGdKdE7zrU9a9UUnn/3KVb59Iuo5c2DS+eD4tRWQ3
/ptUmV9GwE6xMYyG/eU5GU4+YZMQQLuY6EiiSkPedfUKtbGQ0j72yqaDYQV/lm9xC8h3hyzgrzQX
2DtK1vXlruccyLdmsUprXywmeC/h0k8VEoi0ZMjkjSLStWJyoibz0O5TEkgqmt2gTaPZkQKDawE7
HeMsSy26smwjBkvZk6bxmXVCJqFbnkQfF5/9a1AQCucNS1mGln0VgLeSvRmk5Tf2K2ObB8Iiq0nN
AwHGIf3du25z9bzW2c26voLulS6x0MSyf/eyohZp8Vz7NK9gGq+Cre+ntpLay2t7iAxKa84+N8sX
3lFwCquAd2Xdr82Wh8nyUcilvHbC1ycEThzd+KmFuUM4qUlseOp33qO2eWIAl44VA4T0zOglcwNY
NtA05Z5F6a5PHDZO9YzGn3z5ueZfTTKEfANWeVTEtMV7RlKelcroex6kv0p76/RZXgsV6NhhsdqG
fg76hvtUV3oEX8VZ183me7S64Bbqy0x95xOJ8l+hKOZQ+PXK0rZ42BdvZ9ND0G8m29GHaKwRtC69
t4x7D+TNs58YAH2NSSJ24DWI7WEY680AUvxkOdmnGI1qb5UZXgOzlV/lLNsnOSmbtCb3FAf+45PN
cUZztI2oGNGjhfgpgtLcyGVVX2gmlrvPZqu+x5zLwkAxp2I+Hp2DV3br+0gjWbsxmsnfGK3V1Ps+
Ge3sSber2eHfJtkrxp9VD2Xql1t0eutQzCYw58JeWQWbE7BfLIXeHdqZ9XlDDN+bi9GAcpjlaylm
P7uvUvzc/PAC14AFP/IzhyS9R+OcrUhObfbtIl9FadY3PlBPpG8a7YCUPwtNKhARmclSoKq6T6e3
wTiPwwCmN8mFjLifAlPI5sTBrtt4INkVykHoqAUh2lmTe9mrVd94GUHs2B89Ti1bM1g7wcXmwU2D
pL7iTzCrAGR2kNAwEHjziSYGKjSkSgH1yDRsDV9tWnY/RHdG+QG8a0pCQVdSiuZKApuaEhY6qM2k
lh32wXdj5z7K0ptjWsXeGoHomgicV2nOlaXJnOSUWT3tBfNgf89prh9EGviR6aCQjKpdYnvJPgtS
ImHSeT/OnP0aha3tjKxs4jERFb5Q3KMg9cRsv40F3odN03IScx8cAnTIBtTHweYKDuMQbbU90N2M
NohmSCWRRUkHPnCAEMgxyGjrdkbzncM59b+bpmvS0DRG4zVtfW0NW33MnP1UlP58RbKov6HvUg0w
KUYdOy2r8eaqaM42lRvAZvSbrJtrG1N1Ge8VXKBcufzY4wMxxKWV5Qda5/RNCtP6sXCMcuuopIwT
FRS/EVvMP/0sGT9K34Jlvy7DL60D243Lx87iCbg+YGAnca9whxHug6k2MPSC+ofVWBcuSd5G017s
NCvB0NO12EQ+slYdw21W67W7LdI2FW8YEVfgNZaNSEbL2KhezIc206xrZ9xUORDtAvHKkBZqAHaP
Q7Baw49/CwZWFCbx3vHb8lBVQ2BFnAjK29LW49+tawnGda374DKtbXDWR5M76WgAjarawTo6fa8V
YYK0yeV3BGlFodLyqZvemIO8HBHFCWJAJZHomN4OX0OF/09HSjoI7qi7anGQTAv+yhejh3ITysLy
3NCc3WNRse3iQo3TpHHN4ZUhinVjERjm76Fb+ncJ0PdYVo6fxrXp01PCQ2m+CsJ5PEmIxmjocA6c
0MEy8jvpGWkaUo0yxq0Lkz82irF3z7ghqoPTGz4qMofddqKTi6cfS6mSx+pfoX80kItT8jGNZnJF
UHFLfHfB2rwCnfA8VIGsOfiahz9z6mS+rzF8P5DwFg0BdbNfNjLjS56xai/ZXW8k4jLnQ0+0xhyY
X9ygezDbyn1Mht5j8W26I2ZkteKqrSRQBA1cNr+zVUp9q4Y87rEiQeFJWbdpDKYPDnDgk0z481A4
Z6xpyDHu0GTAVMyRAWGbbVNddBs/tf3qTTh580NQ08weC4Qk/sl0m47ytF1bDO9j+cWgkDwuambx
6LftoIeUMS0rH5sAR3NRZV7N1iLH5cQBvYyYhdPxtaCKnI0Sz+g72SzJqZZKbfgI9D+VdIzHqVDp
EBttUD6k66y9mDAWXk2qs3amCoIfaSn9hT6w6QTxQvtY9ASMQkLl1cPU5GBfdINxwe5G04ZCM+Q7
lFCE36nS/YNei+WtyRY2DpJnzBtJsHaMbdD6FYcALW27BmssxTd07gyRsFAgmZR1LNg6FnifOjFo
n3usvxWYc8W2ulGpdcgG0y23nY4HDSn/rx1vmnbLLsGvnh3X0S1OjrQJm0rboFgmy0voRjIogz8V
9t7fQ49HkGiyrM3NwF3q1c6XlN7FdJp7Y6ezAdQi3r2pfcSqwN7V0nLISM46TQpwdN0E2lfTD95+
oTPGb+JgLdnKp3UOv5EsItedGANG47/j2DX8R6dhLtnRFGLSwVLMhuPRUiC/nBoIxSLcfDtRc4iJ
r6Sv07QbWkNq2z1YfJ54Y64sQs4pWw5WIJatrCsrdAZWi4JQkqDOs87zZj0WyZI8gKPtyvuSWsaa
UkkqQ81zaRN72aUEbMpN5Qu5AT2mu1ZkVUpxUymxbOBIr9Ou6y7p2jAetfQyklIz2sq+jjl9ZEfH
GFR650+eZD2eJcm0zwccu7Ny6ge2252Gj4KZ5HnBCLfugm5xrO0wr2l2wN2f5e8YTftqz0qdxE1b
gOn/rNZF/wqyvHBvUQwn+SxcUSf4/4ThMSSNViJ43ScW4+iDA2NmP3dZBN6YVudYLKb+aVEcMUb9
2E/0BCStGSeZswRnHt/dtC98Qx5tKOT9xoRWv290E/oDQjwxpsSdn9J6rKrDkrm5vk3xwvow96TI
L43tTV6E/bQZYYaZw7bTUkWRo5jcHbXyQXKEITKzm8JeQcFenYCgqju5dGaYjaZOYq9xq2IDkr8c
PuaCcbvt5qW6lLcIPiYPfBoI6KiG7bHW6yXYs+K5CXdO5aWvPKTc4WDPY82Yo0/TGYs1ViJAUYOq
XgD5wxg2+Aw3D0KOS1y7LdYS3Lws6PTBVfd5FwQfNB05dkgVROvFA78OFdV9tqx7Q7AxP6UaZl1K
0BzPxrLrjVvP7DsXU1+vndhYfAQ5nuWwM1pxD1+EZ6KdtJ+aNePdZPVMFaB4pOsL7lefFQNvngCd
P1wtle8KSL5sPRJY6CYrqVsvopb8SfZNMw8GtgKNSPSEj2cs0+X3InrLQi0zcPwSYxuOHXyXJzj2
bkQNl8Xz3yEeqKxOs4Hjlo+SFp4hBl9enMTMJ5aphfBvnFAK41KAIP6LvTPpjttIs/Yvgg+mCADL
zkTOJJMzKW1wSJEKzDMCw6/vJ+X6vpJsH/vUpnvTO1fZVIqZSOCN9977XP3eef6QM737tDlVsi0u
ISDONfuka9kQd0AXnzvlKD4P/2JPzpGvzvTn5vY1WU2tQn6aHgaSg9R2NmkFZKOiT9BaI5pc5PPS
+2i49VMiQ4frU4eMwtcLmPdbYcjyYHS5QZuhB2y5zrth3ReLJVe5Em0eLoUAWAUO6J7YhrsD6liA
5ZnN5d2xeDvkKFsWvFP/yDsf7F2KgPj5ysNGMi7doTbL6U11ILTmOelfgHj16c5KLfuoHYtGYlxV
BE19lrwq0169zpCMzLVXWTQ5jVrUZlg2qZHfBMOAqWRxMN5uAdVMz43KghNw5JlewowQByn9aGyw
4vZB2LURVXSgj1HgliQ1NZQ3P+KO3dCZ8z+73bysUb/9BLH811r1fx02Ccvq73aXj21SD+0vPsIf
jMofP/b78jKwAUXaknTODyPhT9vLwPrNEiapZArvpIWM8G+alu3+JoSUuJTwHvrSubAp/t/2Eial
HZik7J1LetCEPvgfpKPdP1oJ+R4R3cKJTnTfZvwxL1bDn8ivdZkZVE1aw54eonk9ZOilBqm4QqOz
WMH06tPMt9K4ftaiy+bdUvWfk22/pL7/SvTGvI9gnm9EM370pHNWWV8Mm36SQwgQnfxO35QPIDO6
k6dVio4D03DRcIcowbiT+JvDEU/gvuxINCtV33h1RrlaQk8z3uFXlMmG2M58X7nmZ1ETSJrLjFYA
ZO4ygOC8ZMaHq5wbnuv2CmNK8zWuyFBRfDnte9b4OBiciFdV+mvS5XsDm2Cbp5d7F2WGDOHqVvFd
JRQijI0JnGplOWlJWMpzTj3wp2Nt1DjyeDZMGEhcslZmPj9HgXo0k+xtjFtoPj1FZZqJ7RpPnNhg
+oCKVbHoossZ2qPtDvfFzD21zdyrGoLTwc7EsF2iuSI9GzDHN1ZCOs7D1TWuUmEN31lR3lwmiY3V
Ot4dS2+4gHW8iZsu282dKNal0ZTXHne2NfGdiEWtMvbSbb1j3Nk1OlRjs1cKvAOqSn00cyXfezl/
bbnzMyksDf44Fr12kPNPbEbfBxkY15HEzRiMNTTAfkxDRiD3ekGsR7aqPlPcJDsjaLxza6bBdlQO
szt3rhUrFn+deZ67oS4W+HnA2qMhuHbvd8sHwhv9ZNnUnEfK51+dan7lvBOzTmBI6YLUXBWdeeU2
2YBbAZmdpjJKW3T+PSn9bO9Vwdegz4knaP7zpc/pYRktssO6MI8ohlwAqM17s27jU+Llj4mUj3Ss
pkef5lkKR6fksYvw/2MRzzYg7RWWOpXfjz29lxZi9HrJAmczJjHbk9p98uDrbzxliOshbV64XoPP
iTqKDTbM4maxKyJBPTZaXXePWE4e45lobYXiaS7dc0p9eKhNHbAOdgAcGu6XHK75Pu27e0vU0ybr
OWggo3YUTlb9s3k5wQvp32N7e1ym9Ja4N9cs3/e1jl0cPZrxZBVoVN5p6lR0nTp2Q1R5oWesjJJL
onlu61tXTmxZhGGEcZvlZ0yV+aZy1XgoEgsMK9fgmbIYfYxIVVMnzmySxzG3s4Ba+r6mOiGNcKHk
JF5w5KX3pGh8uqlIemEiebZUNz0U1IseR7i5e6tXqKWufLJM3LBZootnik+SNR8VjbpiJuGdpT0I
rcGIvpDIv9gb7OaKVbM6LhRfc4rWnsu0zWY/HKL2kw0D/Lqq5LE5LcGNLNzpjnU0CRJAaZtpHDAj
dJJDgu+czTbqQgYdTP7BmNyNlJuv5tofzma60NxmSIIvzF9JD45Sjl61RwvHkFgv1h0LFpZ2Bj7i
OZ4qRN+gXptd5K21JD6X9eOlPKP2k71NEStDdQ7vlLCeJNdjDC9zF8inQQ3evvHn6AUdmsw/6gWb
BjPdYW+OD6nXzKeGHexTkNTIuBWbZRYni32f4+m5ISLGgTvI0xeABy+smgnyUpaiOlXu6266rXtt
f+ra0vfJKMfQSDpSmxg5YN5N1XLEnrHykG7eE6T5Tyogi7OHNnsMZjnuMWSzZIpqsTa8PNtai3rx
3by+MVqfHp/ChtUAbdUMmG0LEymJ9QdyOhvvyOabe+nKKC5+wFrH3onzW3o7LlF9FVl9eo5x6KxZ
U9OkmuhdQZHHSwnpjl1Q0d4A8RtIpyHB4NdkDcIycq3TJX3SAX8NeqCX+yhe7iaBNdSmTz2s5jE5
1Olwx3PIOIBjaLbCFOod3gHDbG48qqkxN4vDCaqyy/5cZb4IfX+BnFH6A5uGBEUKRhDY0+pOpObF
8QsmqLU8ml89zyYp4Uch0cnZ49ql4NsQxhD2RiM4SPjQ6NqsvZqM/gKHbDyAaTn8I8/hLpxcWvDI
JQWSHiQ3CEjKyG+J7c9sA0cckAEuAvxYzibTKdv8oVsgF7HQLqKMYbyMnmmZ56l4+Tug9jkblYzB
mjSU/eJrvs25sCWrIRpws4y6kDVil9uxWlDju4EpGisuSbRHu/a/kx66cBMuLNa9j+y0Afd1xjkb
QAqkGS1MwVLc2yPqATgJg91biqHQqq89U6bPNUo3SAWBGLHEz8h9O+bzPGQl2ZZraQRflkVilwzq
j2rigpJd/qibjNb5aR7DMjdvFr1cFxz1cA/L9KnrW/swGEYAF4NPGk9XtHUweeMW59bTB+VHaS/v
g1d91Z5NI5axOIT8WXDhPkVRE1mZHKdI3SYxeRbfVPjYHPuO7CT7w0jjpCi1zZDecbRZypJ0s0cX
ic7aR4b6Plw61ZDN7FlQT9WbaXAX4hiGsyuCZSDeZ+jSHIs+iqEUa+jJ5TpxxO+2hP/T6R//nq1u
W+7fjrr/1XVvxS8S/Y8f+NeQK38zLccmEOMwR/6MjPWD3zy+dS5CDC5MuLI/5WW834jKCMRzyQ9f
4iz/HnLd3xDvBZcuVWHCwSn2nwy5v+dh/m378N0fFhMBt+XSF8Zr4SD4ecitYm80Y7q+99ybOCOZ
MEqtzWBFsFTNahjKtV8t+S07YzZHQeD45Vqruedu0aeU/8S9p3ELUs/Vhsy/1rbEL8jeBk222k/G
ECU7Ui3G3g9avbEty72UAGCiAeCVHF2BAWylhsvtOtDJQZb0Couyu3WT0r4LOkveKHtG4LWN8mqy
g+TAQ3+6Hmz3wXdrsFeemHcm0QYi+nZ/nXbelkYiCJdjuhHSOXrInF49DOHSjsuapFmJAk1fxtL6
1dabM/ZXGRBURwwIjk1wTTTZuiHQonbuEn8trSQ5zWy+wpQONIjcBIcq4XzUgQ0+TgOpLlDnszrx
EUp4BpOemw9pXfV3SxCMxywx4w+cjiC3Z6s7llb/5k2GT+bXbLdgZi7AI17TT+QnI4DF02P6WIZB
bM1phiKeGjeSe3KVLu9BEx8M5YRIOy8TLm/WX1eul4b9PBwL19olMaEaGuKMb8ig4zaanI88r3ed
y00no1IUk11FiNp5VEGs0UXSBS4eENoC9iVTNp4DyEQEz71XVkVXKRtoPE7h2I3ALIYJ5KBqfO5L
hj5ZI1tGu7GORVHNuzlxdxNcDKDh/W3W1hctdeoKzKAF96LaBaML9I4nh3m3gGU+swOz1zkgu6+U
yVKcWEmtvrGqihBsJv4EtJ1daY0ImO1g7PIBvkFRKO/kTHL+3gY9xbmUw7MaZe12ymraits4O5tW
nXx32xEN49ITjkMSz0iHCiSSvP+osyFbY864p5blCFu3WFvKyi5ZbuQjOxqj/Zz7t1nFgDXK5d6P
q7vMM3eGGr3bpUjGA0a05JQ0PTYVM4vs20BXTcgW7hu70GnrG/lXXNP6GsrCwbBzxDttd9m95w1i
Q2o2PaFbaEwt/tZJ63FTXhoPK7ecT33mnS3DFfc92WzryvOAXdCvVFpNWM4GoQ0Kc4th2xf5kFBo
OCpj4wU582Kq+WXDvHb53qXyIqZLYp85RB8MfkygdMGvDSO171n+wiZPnaLTIU2Al+OhRINbDyy3
yMbgv1AbVkozlAa2mBencBV5IX0KI/aW1HKpiDIQd1elarW6IkdV9PuBAs1+HdtkjwD2U8/6YpBv
S8i+g79YwqzwYR54l8OPrf1S39Bq2M97v8zamQBrnI9bfxJ4b1XZtv5DYTeiOmQiNyqKHJMl4HVT
GB3I2zn12LaRSlZc0Y8mOfbKmxmQXrFWmv7vXexQkgJupBlhJthmEm+jwvC7j4pDc7GuLD+g+7Ka
0dmwvQpEIPbz5cg3JiCScgsHwJ/DNAI6tKI8NK7IgIy5SV+WUTAapBNWDkHQmFxFRui4pjt2hVuA
LBEu7Cw1L0lhn69CgsyBrbR46MAEfY5RU7n0GeGQW2dpYmW3skqLdLsMbulvil536ibOSj59l7DY
TukJuLIdZViZ8FAt2FRhIyArDLFnHWTT9vm3pjWGZBuwf87WduFH0Gm0tbyVAXXzyL7xfVAiu6ID
8YJDnYUI2GS4yppQ1mGOJmgjDS3NNKoeJVorG+iE8uzA7d9G6nhcDj5Tcz1UHSJpzNLwUNDJ8OYL
xseYMcSU3WPae49xz66jTKewKxs8xWJstguMtTsnhcM2JIrinbLsH1zPoxtDd/4XqstbFK7eXb5a
5vIxyiEKW3MonykDDuugDEFxXNJzuj9J/tx2JXvTEghu06gL6ESMdqC2It5RPVMKLxUNVaucIR0O
ZW5tjHiKhp0a654iWI98zMamApEAPlOe7qnmpk2n6R9SljDOfZQ3OtrmHlaeaejkqbMvZvm57c3p
XuQJTYwkjYhAmnkWP+RIcx8stukoHZMCYovfusljS+pAf1UV5vrjYk3esoVJ1EnyL3QOJhm5pHF6
R2CGXSy5lnGqKwoYSDMuYCvI/LVTp297lkBn1yjVWmMqufad4W6mKvMQxTK9wzk3EIJZyidjMb0r
I8inL90k6rvaMAPkgTkIHrsln+/mqC3yWx1U1XvpCLGHijkeIl14xooFZvEG7+1CwCQ1hqU3OE99
oRtqQVP/HS7G8JInWdqEFGwkMPngE2WMio7/3c8XSDjzMH6PYo3WkAQVm4POaGhT9Iy5XduOjBlj
KzNlC+FLskupARgg01reY/SSL0BCOPjphOqRgNhAfmWVDTkHkBwbowzax0phk8G2RKWlTSDuu/aM
8XVs7KEOGxc+ghQFbDSL4ylY2GlpzlSSOdc0TxgIC1ntPhqp0xRXJfzsbJ9Zlcv5ITE0bmkz9l+9
Sjn+Ou2CaZcSuLLxaGXuR2W0+o7WBv/RpAj6qkz6xDq1feQ95a0lvi7Dpe9+5q66AmKkXqU2zDt7
shTw6Tmf6HfE1+zjvtxH1B8TYRXWKVZ2f9AuZeorjEVlyOmTZbpHjWu29Vts1euFjSFrwmDpnqaY
gy7GGrL8E3aZYSVVvpBkNxJE9kUV5chdssnnVWsGJWb/Zc43MdiKY9dTor5dHKcTd22q89eiU1x0
FREbovlaw46zqdJOj4AJnOXgI5dGB6oGjXZPPpvnH+4dWd5pYRvzWcgotu8Mwi0zruUUYr0RcXxE
ivbo9qyBZl/STbnKVpguOdslvpWNO6Rroa6S0pDzWpejvrOAtqmjWy/CvCIsuVD4SDWgv6676j6o
Jqoul9SYB3aeiaifIypFpgIjeZqTj7ADx9yUGV/5II4DiG1SX2csfXdj3wSP0VTIO/pHR5h7Efd9
mErJHg3H2QfCn8LaTnDYpXZxxnhe7H2ifTvtIqCDNwcgY6TdctVFrt+vys5B4WEXwP4ub+qRC0K3
3yZfNhxW54rxAboF9eVJiAXynqAQgMMuiTa9NEnR5bV+RVFrTkWa4OiHjbPOuhFulllL9egKFasN
003JJ1xNhwXfS33VVpWf7TDYpsFeIsnzsda9cDgkExS8te3cPPud51znRuw8uSOpkV2eAMxdV+SX
JzompczCmkDWwfAjB+KjTviYaaRUm2AehocJHld9sGY/O8YUlHzwmONmGbUjZSuULjpqnydmtLE4
f7zVFsCR2YVNhdnxtvEsyFJEOtGv6pwoyiKuqrb2qYwVp2bhSE4E+5EcagYIBfrJaIjljQdG+qA8
O/+oh1rvmqyxGsw7BtUwPQCNFUeZ5kMpghtVJaKDovphT504D6h6ipHjYYCkFtkgx902jmcOlPRe
9nPjj10dLTbsAcHskU2dpuWcueQYUPSrb3U3f+tpZ2CzZSUFewLTFjQlOxjrQ4v9S/oPdGvszT+Z
kv984rn4/X9a6zuoa2ZV9dOBHQVFoo7oiO5TQfr4k9zxF7GBv3oZH/lAumRgPVv8ITagl6KsqHAf
D97UkouikyNFbW8w1P396/zq27/8OpfP18IAbnIi5H/++utYgWH3fiCGwzKUw1t6ecLLfuFEoHAw
YkM0suQz17TIrcDv2P+ICv81HfH7y0PQ9kA+eJxu//hrkijBqdg6/cFFENrGl0HA9gu5dS/DgR67
/M5vnGabVS7WwrkCWsg0wQr3cWG6cH+MGfBw8svgUUrm/mW6nTxSdRJbG1t6er1rktmXRbExJvm5
a1tuVZW3RORXY+zZIvgHWvOffyFOwqbHkd0kQijF5f3+6fJYYICRqR/qS2SMrocmQ9lf6SoZzQ3x
yIBnvMI8dfj7D/HPL+qYIDBw0jKZSrZTv75oG7GM1lnQ8aJquXJoB8mK/gvAIhqh5gaV7f+HCP7i
yrwc6X898vNilklxmsWfBN/91xdTgWOXF5/5YaQ4dsPm+WPKjG1hTv0//FZ//goA6mcM8dn0oaSJ
y7//6a20i84ib5mUhwR3fn92rRrqoiotMez//jey/uL9oxeWUyRjog2v6g8fmsrItYpF5BByLHmK
B0YKAvfxxTYaOEOYwUDGm0LHMIv0eOzOGYt095bmAFQaRr7hx/THulmFfQttcz/9mA/bH7Pi3/9V
//SekL3g0gpY7PC2oFT++p4o4t499svkkFGH5h1Y1/e3UzVxWPqPX4c1qPgdugJn+g/vPVgpeGFq
iFFGOAyErWeXECeiPP+9BOj/loL/sBS0UIR/+kQucvwvZYv/VX7EtC3etm8fn13883bw95/8fTvo
u795aNnsAQW3cB4XXA7j54+CRVotaB10YOwT4eA/4pL/V4DHCn6zJKEabvxMSZfMz78EcMv+TV6K
MFgPCh475n+E0vlDRzApNF7CovWQpBB3QUDhv16prMMNbQ1pj79fjd1DPPj+4+IZZR0KSARnVB6/
Cw2LwvvSRENyzT7d5D1n5p/etr+4W+ESukTP/n3DInVnoWddIkSCHSrtgn94xJlCy8SYAxvLKCA7
zFVDGMkgOmg2TY9DlgRXk8Thg+OziKqJWMWAlS4wNlY6iT3/V7I1LFpmqiwuvooYnmQZgz4ml50A
daXy9hYHfnRYbLojOWkNN3FKdp9kNm1FLlX0d3FHgXnS2OXBjwE7G42xQPtQVE8abTaGjvBIymJw
J7U+jK80hHnkKKUoN5TykY4dMjGvAjJMnJpaQHTjMFkHDCjTW2WUxHxT9wZMB0tSmbI+WbreeTOF
mV8LB+zrinUfRvjJRKGSWLBZV7w7Tr98wBwRjwEXARtWRx/7bOxooMpY+qVxRp+SGqv33vO7A0+t
9sxASvtVZdkYCf1hK9kB3CrpRKFb4r8jI3vMq3pPLzMiEv6kp9lFB1+l7tyteZLLV2uADVZJ036K
R9CL7BqcQ1rSdrdox75qYmVs+U/M3URnVljhANh3dIZdKcMZD0g+dIrPORgcNXPea4bT3BvJDWEs
tanHpt5Ar6CcHiOxs529UWzwxeMdFrJ/FI1Zh0FyIayrhgN6OYpXb/GjDYWKlzy3aaIXOgu/WkMU
CztmIY3xWoFdehzGyXhhF6O3Kba8vc0WftVWdrKB65iunQXeaFOk/gYZpbxzC5/kSiSN4Xqsi/aY
KMcNLWnj8Ruv4dGwxDJOfgMaUbHz3GrTOyONox2bsPpYDic7u8C0ZYiWxV8GSyNz5n7VdbIO3ZiO
PxjdYRkREOtSeLyyw8DIGTyPaXHyhq4Mx6JN9g4Hm7Du2+amzrL+NWGptCOfW60XpX4kpI13b2km
wA3lfFMIVlwBpgF8n0a7dYcu29Scfi7/JD9Uy7gNGUS9LLjsyxXx5flauQyieVxZd+R0rFuwVNPZ
rIE/N7WeABzWCVgp+FR53tJyMiy7WvX9XZ4Luctzd7lz+yjdNAuw6sKRRKnlArdxTkoAc7baONDf
NuWQkqprsMiKmLVKS3HmGmZjva/Gun7OS8fh0/SaVcm6ZVMGxXeHuOnGGoPiMcKYCGC89UiT8KcP
cSP3egoWSsgm91ABPdqVpWJfj6mwwrvmXSDtQbBplemvsZdg8VDwb9re8DcZfBBSKqIy0RX9VnCc
EJozKtrfTUF6KoQH5NHEWMwgColTHOcL0Hpg1XxOOsO51xM1zGV3M9ULZk/4qKCq3HmX5qTaXS2t
a+XH54CbzIY6vrM5FGsIu5RSmuVw0iTHv81Emr7jthjWQU6LuhUs0dVsjeZ58ZzmVXHX39OII4+t
1vV1Obr9YSm12GLelueOv/a6wTF6r0rXeUMHpZ807cUesO7wrXXz5p47s3/IYcV+Bd2eri/uw3Wg
ZEHHaIJog2lCyezguxzDufhxGXjDMO/E0hRjGKuU7XtHSHEbxdm4Jc3g1zfYAkdAlOAOrkmKQKhs
jXQLaMgBRe8j9zKhxtShtV6P2d908rU/aKfHFwSDElLDs+Ma0ZmKB1A3Ntxg0BLQkJpVkNi9+FJY
/nBn2JUkA2h27XPXENzMcKCfMZljecaXdI2ped5yT5t33TyUx3Eu4i+1VWrwOqrle41JtV9NTpBt
l3pkjYYRnDxoXGfi6Lk4tMAWBJ9zBoTqUJdlsxmHvjz6eSde3STo98QHCxdDEuJT6XtyV7retKwI
ydbfE0hU9SZa2v472wUA63rpXwsrGPa1rM6YPF9wOHf70jDhI8FcWBFzYKkDRCIAiCiDnu//grfF
y2QA3VVVr27R5ocgxa4emKN3iEZ6UOeiKA8xmgNLC5sg7LpvInxb8aitXRGN7nSQ6ayDq7qIrOxT
YjYZ7q20cB9UXTnTtsdy9UbNwfQWRXb5XOWxcQ1IinNeVPGAxhTFqxXBMj7VqdsaPKQi91lp/ZoV
gXEi2z9FJ9NllyfluMi16BMYmIkzgii7XP+4l517WtEK5K6y7IDlz/K7Ndvinkdh5x9Gj1XOHYkg
IJSelTwMbcNIYEEkgemBxn6jEcq/q6Jj1RMnnnxh/+d8m6EGHPq6FohFWp6Q4PzPoPAAI0U2MRaD
AfwqSt0phnE6Ng+YTeR1CSAe6AUhd3zw7splDSnvM+yaXwpXNvcud+sHOMXNPi0pQMAxYgsM17Ev
YVf50zU0TmfvgqFEdWd2IZPjAXkePZAExAfPnRWxONPZvRFo/5TaKRt1N1ObCwi/XoPhbMyXKmiT
L6NIB3vV1glZNCDqvbNhbSe+Suih5TnFpFdt+qQkGEMXoLnJLaPFumcH1p1VOmj/lqHu4lGMr3lb
W0+OMToPyKPFMbA6muSR8M9Rbqinku5bYrJdhg9K80cwa+Eyc+i/5UicjLsGYZM4KUwrpjTjTsxw
Pa1mwOQ1LtWnl0z21te4FNk2R/qpnQABwaJvyksAmATKhUTeb5ZlJs2yxJqtHHGqaZ+SgAtHpQ5R
V1Hcxy4WB/UcvyhObNeeA7LbiGOghoVL/oY3GLc/z88ibdZGMPmHuGB/Q0RDhm2DCWftmNQga+Xj
ykqxIKGLFl23ziJ2LKc6Kg0qpwkh2HsP4W484oWIj4wzdADaFmgBxgb56AJHnNakfsqRILhn3UK2
WkjR0C4MwhBTWwoi9J6f2oqU2oAWpQASvChD+ke9E1SLeRNXsyrCsmu71zqSyypKxXywUrvforAo
HkdOsC0bAaMeZt4uqhZ11ssstr3LNerGrX8lMa/TqYkfP8FE7X7G5mFqy1d282+4yZHSsqPtvbZY
1tExNUEwwofdO/MlBqqLny2E+QpMKJ6bWwoY0w2xN3x6hBP8GxK5EkqNeaG+d1mw89HNQvzJ+S6l
5XDPcghzipn4JGqlbm4qCu3pf2Z9Zw1FvaHPyZpvu4kI5LGqFnEtg0LT5BIbZAydPD0lWZA9/nDg
sHM0d0J3+SGFgXur49jpNqjS86e2i5wyrmpMX/ye1VoJnzcJA1RzZ52aDqif0XIAtVfFhRQ5lR0+
OAJ+rOUrLXB0+d2UrFOCrOR7okLtxTRS2M1SkSBvS42oN5g36egRExiH7HmqYgcHtyJZkGJPjPZB
FDX5PvWxkeLhgVpvLWLPr4x+qS1jrx1tvQ/412/d0e6Yq0lcPnC3iQUX7oBMEMPCDNneswCP9JFi
6Ks2Q1VFn9sw9NQ7FZXqahSCYN6QG2/LGBHnBrBsHP00fWscIzizlMTmMy92/jmUnjpn3BV5+veF
WrWTy+mBvDnRYNfERZpTHdIZ2nyuzSS45QHXgPoe3VMQGP0WN8ewdSeba2Kqou/Ib1RLsGs5TyKx
GaA9NFtacizuorXxjA+Pe8g8AeTCsFoi0tZFt/Fy0dwvo6QUc+pt56YFXoPwstAJnULrnbmL72zF
/rnApU6EGurlkHefrYvrQip6XDyBi1UKBQdMLKD9rPEmahkKktE5OXxCm3TOvI0GkfJU2zhRJQ+a
VY4mvSmSyLu+tLQ+W0N7QwEtADYgQ7u8sjvCOhxurlqhspPMWo8biZ0P+4ozRhio2D6YrpjvXFTc
tZuXJ2jMT9IuPo3IP/fah0EGWAdlMjO3SVzSjZSQdW3Tbl3BkFtJq1/OedMU39D1hnPF9IU4BVgh
Rk/cS1+NR896z0hW9H3vbukQXZs01EHMd2POUssYXiLHW4sHEsZrNdNGmyi1lwkGDgRcqlyBNIlj
PMurtlSnbEnktfKUdSr9BJBD6ozYW2tRhzmhfEbG4sMfG0UsT4+PdCowRJeqoiZqxgzJ3i+MfZ3d
qZmJNmqVe/L7wb1zrcI/ahMnJ7Ia5RaGn+wivu2nYfamksRSazGCEm/hMqRXHS1sY0yEJGjG2Ee5
lDiek6Of9eSv4Ez48c4ET4houx7pbg6ZOhLQ3haioU2DVstaOZwlz6bVUlXDwfIKkuBoYchPor1w
Y1sX+X7a0w+0b0xmiMXFSYa9DrqDTPMLZp77n9Z81FFd0f9RzMam6mIDKashVi9qcNzRbL0QeHTX
AU7gYz0tQ2gZlkK2EFQojoHeLzq1vwKHcl7gE9RQ+mR66KNEP2dlVB2cssZgoQdxny1Nxr2SHCQ5
kza+asFhXcdFs2xMhrZvlmVxhCb7nLKLrj6cuBHgD/urCaNEV0QiJHL3btIgkoMAWIxMwOswHpt0
ME72rIlRjUG3N+bcO0z2QAhUjsGDD8MgLFWTIvozwGqvdDbELP1QePXVxVCxtpIqlCYuE5aVoWcW
xHumjDmhbN8A/7rARpxojRpBn6xj76dsMY6mk5Bst8b+pg/67kicmXgbLTt+SR7UbW8q+5JXvx6g
1RM42dq9/JLF47kcTYuWq+nBD9KtMgo6vdp9BM6PxxIQwMiivZbRkBqC4LUogkttw1vLYgNXTNaE
yi/j+4v1YB/0khv76JRXbjbaXMdtdQj8jFhiXBxJIy8n2cYYQoQPuhUTkkurDwaAON9HZpkcoFuo
nUPayHTKZEWwQEPj44C3aAMbgWAMP5iCwxWaQPbNsVMY6kBTANuPpQzTgXukbRqg1VMnFCSJdyoo
om2VedFpykWxMQLV7QN08AhvRepdJcqOVv7kYVH09aHNs3yXeAdSuScLI9DiFLQRWIl4qmuvvzJd
z3lKUrfmnqt7iAIYvOAcFUUhV8T7fHyVKSaopUvqZ2MM8hAC17hdpMEUtgT1Ka5M/VB7xW0mzFU6
U97ja7nBRHrsi+aznIAzw/oH/QbAoNxwgz+aqF4NsNgtK6b6ACE+WjfORJszppTrxaa2TXo2HFV+
P3KqpDxgCk7uK1Hh5qDJctyiF4ltZGorLL1g1UG122gI8ltJTefgRBDorOrVkVSZAJKgF8Wegvnu
UqqAM9SQ7bYXvr0bkxJ23mjy1mce2EJNm/JoGEpBqRVXJEndUNZyvKKGxr/STnWtEnM1Ldanix6x
gph/DIKHycywlzi3c0I6uk/eRzV8kjPDWW3WFYO43YC3F1I1+85qqy2PTWM9inwKU9swNwDxxpsh
03D2PSPZ8+RCSRd7i9T46BKAMoHncw7f+2Q9S0XGn6ftJz3LN0YpkO685YKWPAkqECgxm7eN1l8G
e4RkMzlOdmh4HDy0ljlTBh1/GRyg/W1lPDtJIM5Uz/dvhnDqPf9+RawGewIHiIPTcBpjRDEepsC5
rhzCWSlofq8iXNLYcGpSYb9yA1dQ7Bvx7DiFFRox3af+bD0XHmDDVPotfr54ywy9bmsgZoRwBhP6
oebRvAo8TGnZgFVnLuR3Ig8HSWCzoHY7HotH2qsYL2mPThqaWRse4Nviv6k7jx3JmTXJvtBwQC22
oUVGikhdGyKzsop0SieddNL59H3iR+POtNg0MJu5/+oCJbIiSBf2mR1LJdYrb1815oPxts/bAwZH
TCnJucqvhmcu2WpX+eJCR67YJ87wOBGc2XqeyB9zBbCzTcyaRiHcR5XNeZEOHxoR3XHlKbFjsk2g
X7gVUp7j389ziH+/gitXUqW2gbS/dZW9DRkrg3hz9MkvsYLYZzkJwevYPN+AQaNuTmmisPWr8T5c
krnfqHFMNmPr1C+AXOaPpKF7kL6iVcWFY1XL+RB21bwfpHCbbcUk/Ej8YNzRPIgj3MndQ6kc/dgt
OvuVlQ7Ansj74sr/AixxPT26YHic7idC5wLQy/XP4eh7zFGGcLPpO8wyXKjBFeBbjOKD71YFd5Px
IauRW8axlW9E3pdDWRhAQsKKMVJISWHuoPtNJw39TBGKGdcGYMHREj4v+STojV/wXyz+jJbpht0x
DCFv9tYsyEfOd1ZEGOHWL8IXZWd7iTNhG7mRgfMjPfGqg9m/5znbuqO5M2Gq7orUX3BS2qhex6Vw
4y2/V30o5VtH0PcCkDIdl/yd0W+5pOqgk+k5SQvsaW2+pwlO7vtElm9Wg/LdBf3j6DX8XMIW27IL
0w1EHAxz7POck0H9MPoH+wspMrQhhC+cE8wSwT60CScdF0mjfTdNn0HL/N+wih9pqPEvZIrLTQYy
GYkYuwvtyRnf2WGavfguymTQrtCFSLsGBb8O+4be5HDUOaQEP9TxIuYAp3ls8K09EV/t4GXf9PDE
jiaU1HkHBSp7LxeYtSpuqXbzbgEZJei/hUSqGpAJZi72U5mXv/oCahZFYgFIHiBNbV6Om9pnRxaL
3RcrwAAukGN63pwL/Dp8gTo05yYorLfUlcuqkFw9tspyHBB+AdVublyWCv9ZXdzNiiNZBK3voCfH
Ps8RfTLUZNRY6GYTRrTShOKcYpQ58Fu8re2K4Y67vPsmgHzjQAi7vyqXHB1TX91NRF73jeXh2KFI
5MEKW2/f5X2x7xQ9pWsn7BwMQiM7r5Z1cGfrYdNz+POwQYNcRaW4S/rAhYzoZqfKuO4LC3/zMAI3
3uusu7GF+o6m0aJmdE0bgEuctiObzuVfsvXBaIL4cQsrddgU1q1x8684ZL1YiWAqX10nvoxJAGjR
TA2RZRhVzuz/SemN/bY90OzEP7z0J61E/cIx5BPPI3G3sn9yR/XiJiV+zZvgNS5kWRYjdwTJ1Hme
bR5XcNNrvD0ab/XSfEkIVYdY0vkjs9Te6hascYY8SHq8XB7tEaAwc4QBjmYUI5uVUPdT+rDWLpbR
Vd1GO8zA8j4uvXFNhjvaD/nwqg1xLtvt32E2deseStq+dIPwfgGofzWW6n75WQyRxU6jiXa70e/W
o0+cWQZcbDISYHkCUP/GPE7HFpDqeJ5FgQ82nIuTcaO/guP/yqNzmpSRwIjKli1B08bJC14PNhO1
3HBCBBjuKBB9HKPlMcRN95RH8bx2dCV37eD+bnIoGX2ARQxqbAqtdvHOqjDWF/GlbJv+E5FzYpjD
GJ45JfnUVAJiaBIPTCgmo+I4a9c53Ei2hXRBV9nNa4Hp794FAH1oIis7jXNsHbjYTVsO70+DCEls
MpgCIT7cORzUVTzovbegSm41uOdjSVnKvTZzgojhv+QS8HVT0iLh92Wxoj0QRCZBF4MbbOWB3B0c
7wEAj33nRJQakOGiJIcmaGDjZYIyBNhhaOar4/a8nH1DL+40OSdMX89mHvwzLotnm5doZQfTrtdR
QiNT9ULJ3b0ZFnudhxAYZhcHKjlQeobXwbhA528IWbmccFgLkUb97ZBo1mQYc+05AcGaowL0Pg/z
RKTNCVmQHSrDXk1ihT8tJQEbq8W8xcECx1kSqGPLY7gxscRia5ZS7iTL4mXIFe7aZVluPTf0O5BU
pBe+eA2y8ClUZCRHP/kKC+dczWA9ULv3fkDIHpLmU8K56CzykXQNDq26fzNj8RFoKmykIh3ZtYSY
yqcUSgO97U3y3EP+X7tWW109u+3PnWrpwsnC/C1wi/CAK5QjzaxA+fQx1YJORCuY9LdRLK19TbA0
G59mZk2XbMqLU8G79lXPKfViFew2SDs92ssY8AZkTXDnjHiRweBRXxPL4ZRpHzOp0x+dkPUUXs4i
9jT0cRoUnBZWRWTYTuoqbdZ24NtIjpSy415M+BoplnizuxxzNSio4BjPVfNNdxjJTDm67R1/aHGi
2/uVCNsegdDdEfwKLomBvb629Gz9XkoOZuyH05OYFk1zQVNihcOt8BGI3nrh3u/d0U8bvM1NBYkM
jZ0435grQGiV6vhX+9UvrGr6dx4N3OsQDRLNUKgsg+UM7E2UqLf++BYMSjxoa+Y1NiVfAjOmKb9P
lwmE/DIIjpmV9JKXyoHmQIBwYbnqbQ0iJQpex5zo2L6K0KmaLABCW82+T18DDWwPWRBbzdqrZhyq
WCAnYGax8GF3u5F4hXvXHxlHcYxrRlfsuFH7h2isBQHHVrr8WrfW66Sc9EcRNb9zmF/rwQy/uZZb
mOxFW2zszv1dceBj4LYgWAGbRxJRox3DZx4EK0XLf5tRNupiwjbnSGkHHzQ63QokWQbUxfJC9Q0z
gXoHRYhrJ0cd/BQcyHeLBlcSp1l4Yco639Pli0dcMxPugV3spKiCp5FMMm97lPGgdKCCd2MeegfL
SnvmT7lZFzFjH5Qu3NbK03/4dMZdM8wu3vtCHHDkX8PZZwxZpeS3Ch8fdpEW1WWwwHmgrOW7Dv/7
soBEuiUWb5DxkgYOXr8C40oUgoSNnDT4hi816K1f2d1JWZAncQLDnUOVPURz5T1Uk1WqdZTG1EhN
VJR40DFG7Ttr28uAsfWz2DFR3HcTD3C2xF9NblPQQOvgIw8+HW9WMh5bt3UfbJ1/JQpFD3wHtPJx
0p++HCiC9qkMKf3lccx1tYEpRIcNYEbqt1yzDiFHbDrKTsWmVHa3gu97z0QQduPYOa+Z7DbalP0+
EfHy1mjolXPWQugsxmkzzw65o6o/eQBd1viw+wO3wHyH7zO9jpKu6GgMf83pAHiqaMje24nuLwXA
3u2MBHb1y5ToR9EE/gvDJlzcWLafKL0Tu2G25k9Sc3+qBdGhBO/8QEKhfmsEewexS5u0aSKeRozA
ex2EUI57UjlixRQlXNbFkiZngSzJrYMeh5d8tOk1cBn4bF06zykuIKBwDhLDkSCLYQBmHntyQNIw
Xbz5eTalcyDICrNxTrigtbepmjgav2V06uloe9upIy4eJEDwn0oMAaDSOvsNPF2/wtRO9cugq9tg
1tnQ6aC3bSDBI2ecUga/38etpDdlKvSuNhS0mdL9xfwtPd86Yu4qTpPruuNCY0R96ylhqdVFUW0N
s79LRev2e2TRt5vZ064QnjmoYYgOpZT9mRyx2JWjsq/55Oo9QwZkzkFOEu3GyI7W3Sl9zvVMiovX
kj+VoWDUNT4e7MR55FOlsiAkCXFx0jEgvA8HZNUu+JTWUNGWu2aZo7/GNHBjmb5wB2TqNp+AYkH1
p756U6KlvmSLPz54o3y0smXToOZdunkIj34VFQn5haCltTBDjOvsYOEX9HrcFdIB07q0f4mOONBF
Q0YqUeuNPxXWgd1gVenByyr+vlZJd+9wUDj79nyoajN8lXiqnW2irSmihKARb3y/v4zbFfsZEYGt
i7k6xDqHaxu4A7pAP2y/yPe5L/C1T04e9CsfmQ5xh/mdvfF9z8Iz7I0hpNWQkWLv6LNZqPaIu2b8
HIxnHgvD/ii7qFgNOReD3mvPURMotZJhwGbDzJzzf2dycR3ATSAXF8p78DJW6KG1H5k17MTE81sH
5tWpgvJnoRLmhYBA9MMELrkLRroWxwLIF/dtwGUx/UGA04RTEVuw2g+LgSzdLR1GywYWnCkca2OX
nvw1JUR7aHTWYClmijPP7AX5bzRQbh5u5z1kMJi2GIOgtsYUSDD4n49t3lCppWbfPme14NUuBgZM
FsWNzWB9pv3c/0pyzhuQ97V9Rn1mt9FFUPxOESu5JvhTuPcmpzjg2QG90Y7dO8LQJwUA39OcVGzj
Yf/quTndW10AdoztVHw43D/fB2Mz1oGrZg5Ag+MVdw3FbQrjd0nVJqC+ROhtWc7NU2zqZZ02cfgA
PinaurKaDktT0vuI0jfsHJW1/q7BXb4Q4C1SuoqnwYJnT/fy7YJTIkvslqh/YuLlrHrRUuRYZGo+
xBbO5yW34r3Vze4T3A59F1lMXimn9q+YPKxbD4/YcGifH6sg8w/QcrOPfGi8164Ez04hfcF6UNmY
OSDO7hV4OqJeZe/cFy4+W1buOmbgNag1fZgb+Ie3LFbGTiAag9CuRQnKdcLhaDlAeEfKlofGxeTT
LCF4jDYmUhh2IWXlkfpbAN8A15GSWlAFdgZACsvW9ZyXCG1/LWyHshhW0y3z3frOqtzHgO7DnQpb
4FPBEt2bvmu578/zt668Tq9UPMVP1GZMUMoCuAa2cOorQ9rk2bX8+ZEBdvjtxtQoWCZkrtbY+lT0
kVloG6kA1LV5/Azqyjoab/hQ6NDlqh/75QKFl2Q9WLs9Wyl+F2FGqkrqKxa88m7mzHUowNpu/Cl+
o4qE0p6iExwl47l47fDrPE6w3+aVPfrFG03OzAjgA2JuElqupbdceh6IdVOm4NBqEx1VXt4gY/kp
qAVyZBrHpyII7mVa1pvRq+ND05rmiJah14uQNW/EPJ0ciXFmKXr0zT6KKO6Ijf1BKgTXBzT2dyv0
rnGfvlK3Mj3mPZmSKOUWV/YKhOIU5LAIiqecOaHADXXwY3zQKknM2RQS5bWam/uypXWcpsmjx3H2
iVwtugGXqLvE1FQKcHnyLjJK2gO63+9YyRffNmcKazecxALAXjVDGxtm2qGg9u6DgktCtFWd7APf
r1+dMWLhGphJH5uiOTltOJ7RBPCE+MG8gXLQvVUlH1Ss0mHFNbmjxIVBtc3wQd2WdPh5XTjRBNdl
xcG1BLaOdsS2Y3dyN4HChsw0Ajpb0TQAtpPwwhPLNM1ujOTnLTtHu2MmaZ9HV/+RvYPWo7LgkIoJ
aa9iFHnPuhUQQfEM9cq2z3Q6m19ubRH3cQPALRnj5YrFstouQLsessRprh2Hi+s0GHeb5bX8NJUu
AIyNsz7PNcDYPHHiv9BSKUpR5bzKFy6lKNJpB0dCEUtivJS8UxdkNlK0qAYUPW/KBpJK0ARALyby
jDTMuU+OCGmTbhRC+ZJX0J0nb3hEG8h/VxPz5JWQDYxQhEjsDhiWTaj8D3I3M+vZolAN5+A80rkN
JbycK3xbgnkC3v/fXZr4Jw4q2W9EQs4Q8LOZS0MMAmdH2UjSj8EpHj5uUtC7neLKgkhtD58LWEbg
0p74xJ+2PKBtwGRIUmu79EnxJ7d852rmkMlB2lYvKfyTLWMBrveNZVYenbrPUObtfT52wdqNw/yq
CcPRpUvX3WnIi/Iv4HD93LC9Mpgx6UOXdEGAd4K8Tj0U/tYq0vQ01p636xR7DZfnxn6sKjPhcO/C
CyMrgG00WZQ88r56YGLgP9cjF3CrNeVz2VrfcCrjXdizf1J8dMqzWTHOCQC5dLMDYlAjK5a8M6um
HWz2RGFhDCI5OHSLe1RlATQ2tPR1gdeLPj+N/aZqIrlbeoQMWZChJdTt/HWLOD3j0KHFRFojCUaT
jvljyOFgxzAuPdUt7+HUdzWPLVd9rs6oBUyj3OvUqvRaJElLAzNnL2A0z+yunHkC7tJsv94BXFvE
LC0vz6qs5tcQOCa9yYTRfasamFlzrN1wRi7fk0KCW+qsNP/QQHiLFZCUCdkBfRv7OnMhS1jlLoI2
QJTxFpqQItzHOdM7NdTeOuHKuU6Kju2KWd8zathwCAIQudNy096lPaq/mGsMsf4seF46ZzlqA1aO
743WMVckkNaJ1GpG9GteVcKDfj0hn6gIXcGE1BZhyxM8lkyw6/lei+EJEtyAM45kGcTOeIebjDMn
6bx9w+jmWWliHJlWAdm0DkCgip0p4FJp4r8LjFx2ClKPZc5nEPrK24kqbI+tntL7vgDU46eK7JPD
z58tGAVXZeTHfOTOHxYc66JTo4YtmcuYuHdVsQb9L7xiRQGv0pDRnAJnDbjyT9C16XYO0uqzGgzU
Z9qWxGtYMf8IcF896iYtfpG90PeBx9AFnRYzbKmtihWpaJ7+cTP/v7bL/39UKIsl28e1/q8Ayn9x
wr8Ow1f/3xnh//13/ssJTwOha9txGIYJrxvu+n93wkf/m5AGyY7EdwG7xQ55lf9TZUHtQIjH0rvR
JYk5/MsLT5VFjKOX30lliwOI1P2fcDL+cyMLunBAvM0OcThHLnmr/+iFH5ohCVlb9V4WQ/LMAmIe
YEPhmfES0X8T9yzPk510cv1/fVD/jffdCf3/GNaJfEpxIdPdsiL8w8M4+E9/M15eooKB1vvQH9Od
6L1AflGoDI9caAdn1ch1Jl+Lfho/KllQdDH7LQJKTPZ5pIaTiePerqTjrlXvVZ8pKM2BtgeuWr5j
MBXHPZBPW0mQV8iVajxM7q20AeI8bksG4KgREjbdtzdxVR9M3+xdwmBY8er5y7Ru8lbbRZ0jGGv9
RMQ0ksi66Pgirzg4xDK9nVkdd/zAbil2gcNRO67rsy9asZ+ynblZEdXSfFPrCUuEqdnSOu1Gpe1v
XfXOHYV5xROVGtF7soTd3kstepVqXKHrPPDxCFONlL5ausJstWRWezRYl9ZNav5ELc1YQOHxPhTu
cXDngpBr/hjnY7TTMzethpbMteU0b0KgKU2SXKUzuc8aTZK+BZfJfdesceI066puRwBeHpKAnDbx
DNzbZe60yaaR39h3AbeBsFpbAwfzUPa3uDdpTIvW4Szxz3agNuAMwJx4/b5Jqx3XD7SqFHx053GI
Dnu1hh6CoJy35IHpfH2Y+rHjfC6xBKc9cU9wm7uBVjI8ev645uJPWDhTcDsnEW1LOnA3tG4ytQmy
8Yi71tlByQiOvg3mytJuh/9mHE9oW4K7U46Xr5ipmAjgBZVpgQVYZpSB1iUFLEGFw4rq7f0y9TS8
A+kFUOtk1bHBw/dzS0cdRvLFeF5C6x7NqTkS/mAosFSq3DTUGm4yNYoCL0CaD7eOPa/AMpHX2YZz
q59sSo4OUNE8X32ZCFPLWi4e3zvXt+gTYTK+REY431CQ6p8hMiielJFBBXDzabxmbXkHm4bE70Tt
KjeepDsOpjtntm+dKEuSp3yp2/c6Dn0+66JH6LeXIV+2fTAJ+oETNPiVbbdhiGUobB9rGnVvPbzB
rcmkLSGYM+S591WJfj47HgVIqnb2oKSqel9aXD/qwOq7jVX79oZL0uJuGYZz1lgiZG679wC/q87o
J9cazM7PcpOdoDbCrO/sLvpUQ8xZPHVLGOkRt5k16iBwa04GR9DvXDLCLqvvFl6oY+lMqaQTIs4O
RDD8l7ZnDM/xJRaGD/M2AfaMT07bCSU1YXWr3+CzBPkqTiKo+uHs3mpAQYRs4TRk3clMqFpthxwT
Mj1/K/HcjPuhdvy/TUgf547qN9MznO48G8qtCaxrHA4T+ZAOxgraXsl9zu29dQOFumJ0gWGTUwJM
Q9FRgCVtZyf5n0dXtIiu40LzBz9fzYh8sR5S3/yEWfmt6vzOgZ8rbctH1MWLWmu3Oug88R5CHxNi
50MlH0q6wfA63SWDKFeLY1FnYUu1qRdrOBSyu2/CRT12hf2Tl6Bn0XG5TOF0OdhFxGUqikqmG/yL
IlPLXVZH4jFPrWGPRTPmLD2724Frw/cS9nrHTTK8t1G4iP+YdLrjkDH/rWsymCt4zOKc5LGb8wDH
VK0sDTlzBhSB8x3RSH+q8HWdkwivH+cfJoDKGbwNviYV/ulag5a/iiAerYmL1LyX1gfuQtQN/LDw
5gMOOob7VaPHp8RzUD9zkcY3DK0+LePyR3od64dqff9GbE43iWuii/bIUvjl4tFfYmXbqc7EsR3y
+tGynbRbBx5IwFsz9TWq/NJ70RY+drosy+FYZp3+PVj1eK+mWzokp3cArWYwD3Gvc8TB1qVL2Jsj
nqyUhJOls+9YF4S6miA+eDG9N1C87TWWQj4N0KavcUVTBshdpmjzxJ8w8wBnU3l/m8mupyyFNeRC
X6mDEwzk6CLdMD+NYfCX3UncAxSX+6rnKrgKeVLUEUMtYS3uVtmWkRGnU6EyBziI6fof8l4oR1nZ
23dRSG0wJ2SUje0tlUArX6Bh1+f6KjjOvQ+iL7dV5MV/bAzpOM09yhwTXph90OlYHyTwNn+rtY7v
u6Gs3yK+p7VGG+IgSXXbqEMfb22XfhuKwv1n1dUss7cE9bBpB8+eV6IP+2IjOR3cjN1Zvy0l2kMm
KEMtRvtb5kELDpSCuAo30TkSyeZmG7aQZwFkzcqlVEBRJQCtOPTANdUjgxhfxjGdHp0YXqbSxeKT
OsTAIhVRcIQvgPpRPXWPJm6eUkbE3FAFPg9ZW4/V4Kf3swXIuFTpGn0aXE4v8A3fumW6jNhUdqzJ
gyDN+P25oDyATJKmYFhk/BPyC/jMny6afxvW9+Ok8CLFtmuO0HdoaJ87WAsWzcoig2YNwADkazVv
l7EP9rHmLpPi9dosOQ7xllDOuQiyt8xLsm03YAuebtmGCXF7NQ2+Qva2lvxaz9Js24II3pRukZid
Hdwq9w47L4Mha3AwRkTiZ85us+lRD5dKxUAokKhW7YzURH2zCxYy7ffyxqvgG5ow2zC1UE4DrXBe
XtMKXyttkXJbh3ywVdeklzbW1IMq+YqCQptg2/SHgYj87aiBZzfsh30bxs6eFSg+Z4Gk6qvsw609
4q4IoNIfYJJS+1gkj8oyvL616z/MfO/2VMFjd3s9+3vsMxhAcDHse0iAK8/rPV544Qdnjgtokvgp
ERZwQexoEVGPoZDJtnAGRYkI2sQnEfTqGjGtPdvQIf8CewlhbNfO0cF+8l5IzPWjO7d6NwVMN9c+
JrRNFtnpXztfxkMYGHgnQ4Vuxzab7i0idgK0l5PD7cU/vy6hJJ3CzAfs7RbeV+L03Z223fmhTggK
rizZIKOnoxueMPfBw9G6wFnojuIZlSQ427F2XmhXSP9UKl30SjbgIqmsFiULk5Mei8EOThkftb2G
0wq3ybPEiVdFiZWdGZ3tW8xk+9p2HXJBwBrhtUNCrW/j8dytsh/MFjZgNCoJW76EBjdfHFsvLn2X
B8Cz5kzt8bJvbKM//GCoz2NHOygE9zC/N4RTdq6itvU02HaJgTD3lhfsReYPqbGa1xTHybWPEn1N
8lYCYhIhE9A6HdcTR/tdkZbqLTatfZ8yRT/lKbqGuWFY2PyQ0lc8B9mH8DtsobVdnQMGQy96qv2D
boR+shJAB4Mbpo+eauMLzQ0Og/o4+oDQhe0Z+9WH56dH1QIQCofsvo+L8M6NMyYonRVgVIxLhsgr
iG3c5hfiRLTdCXpdPQKeUd/vW8vlwDOlVJRGHTeL1Yjpn1kr9wZAU0Fa38N9yfdJBYPDhcsCE8oM
V0zuyzGS/AQNWNFXL9QaREI/eIyDpzBjYucWDFym2/5GGaw2LGBOuMFFTRVLpRTNDk2yCz0UXGgW
HSMoHCVRlXwhsUFbcpmXiLgxe1cX4a7rZP7DoQVbcygHwYSwQmUaZ9Ps6+A2v+20+uSlXa4W5N31
EswYSHr+ktiy3W2BEWULOjlbh7WXPbZz795PytZEYT137p7MLLrq2aIBNtoMciHVhsMmSdapkxXT
amj6GcXE1bjxopGcH/4Sbe0DelGvtT9lLzNGU2SF0t1DgqViZpn8bD/2tnqSxnU+xzbxX4iOMKw0
vZt8jEuWLNtCiOY5q638Z57C4mRBMvjqfHfImFYJwdchw/lqc0D9w/BlOZGrpUuhFnN3Nb3DWrEQ
DObAplDV82Dosj0SOUt2r7zxPeTr/irTyH8NQjvsX2IyTMN92na+t12KCUOeo2Len5ruE+0xXSH1
kRFvBjBMARMGJgMh1uEh3IwAuQvO7aReh9qEWPlL3l7fMFPGW66zc4sdHQ+t10mKZ6I830yW5146
S0YO7zvjSPxpMjt27eh9VogpsPYSCSPVHb9crkTrzpfdtQ/8J7hKG+ZHaiNVHJ9RTLxNxnMISSa0
v4oon35lMMYxrgUCxLO2PoA8BMRoE+N/hsLMJz1MZgcpo31wAf89ZX6MXd/J5vTgM1jsjCyPnKhz
kI7+dEARXA4jH+GXjjJNyb0VPvqId7vaouZ0aKMHwRjoNIQU7456LK6Nb/mXZPDGchUkcMPWnRQM
ouKOwsCoovSl7RfGbEGUXrI8/jVmEL10PT8xIIZhM3c94UePqPdKhTr5O8YyAkleix0YFzBgk5u/
9XEyvk8Fb05lNcN7wTBwk87o6A3D2ZOg2PwJnMnfzM/ttSuH5NpxnH2sbqitWQj5B8vuwg46udDb
y/CFef1wWjLb3jrLML0RFCE0ZpX5vcL289guvbdlXKKabe1IvPCpP+F1zOQxzOr8SSMAbDzEZonL
aZKPNAtX351x/SeayIedWegIwtXXP2jU5WMbde+jPWN4n2OE2LUATrid2yRe95NxGdYOy1cegpxy
5tFel5XHGWgo3A+dt+5Fa1QMrEfJBwHd9Nc/iGBKfdSRbVVfTUaXEgJkc98MGXXhCHAXpgPl88Ap
D+NwZfu7hc66E8AReUkVj7xWrPeRbMdfQvQNActBfBmI/8GKbsKZhhkdXeKIy9oKCdL/I9hVNpDV
Yqqd2VPiKdDrwnDH8tJb5jMvmJjo9K2KA3UKZFq8WS3PlcrDmpsgJtpYGgTknGBzlNjuKcVjvbH0
WL3MRrqXHLLfX3+a824l7MalCq4Y7u2aPW9lmtT7iWGIAPnv6/5sZ1DYVwvFZweLB83ZepVG+ByG
kiJLZnHZprV8+T7Msku4d83OMwF/+RL1rvqCi4a2Ev1TijUnXYPNtEq/psFm0JZQsVKcFe2JsCW9
7G35p1Kr+KdeC5ivDxe0pC8vGybuV8EovG8dNuFb6zKRxAPYfs2TI0F/2dE75isswvXQ3mWc1Jgt
s3bwAxU10wjK4wRQ8St8LmfrIJof+CTVQ+8oDbpeD19jPcLyvLWHKZckvWoZGZnRo1vs1jKmoEJQ
DCDkRx/ZYpeVtQUoD1tEUROicCKw8J1u1xR8Nj9t04XzPdVCeXAg5kT5GW0dBidI5rw13DZQ18tZ
/NW2H++SHk+uKZgzrPARgc5rGUu+ww21wZJQf6ZQ7YEWDVPGmeCfJjU3V3694xTQ3xm8Jp9uIhhA
Fg0PkHAWfgYL+JjBqjwjBGXNm19jEf2np62LTPO10MXzt+UMeswDi2UotZYNWZR2E5CY3Iez+MY6
+40fs1yNkaHtLzCbga15PQ2MpbGF2bfD2BuLTHsyvXq208ndZyRSzllBwRwwSmtF2VKwwX1KgkKS
MBnj6yCU/5B6aX1nZ75rrTz/1lw3p+UxGJrmPPm0zorZ8DhYiH6npe7HdlPl3m2bqsEkDd0miTDD
tIniTbOWMxOy+CIIO+HiT/q9k6T2N9an7Fs6NhnJsmlrfn/VncPcDi6aG9QurLzhWpjo0Sy5s2dv
ngjQ4l8mbOX169EKpn1lJbQ0IUo9BC6hdDShTztMsfzWkpHbprSa4oGTHdE4m/Xqgv0Sku2kAjT4
JPczoBVcPOkyWnz0t2XYeNRgvNlVVOE7nvrwiaNB5a+xFKcPGBFxVzEsOQy0WGNw9gCYU2iL7dHw
XlZpQmOOQ8RkWIYSL9GIm88n/xet/dFN37tMQ2HopfosjGdfCpy6zApyiwXc18GTJ0ZMH/xt67br
0sfcsb2LLS36V1MohucRrMjBa8vi5FKPe6a1VJ6FL+Jr6OAlbRjGZRu34T01Sg8PiGsMFAJPcaSJ
I1qOOm2ZabX4sthmvvmdLN2yoV7RY/rv2j/WkpVHnS7pc8jKtAoj0MRsR4u7wn1W7rJizHZ9YC90
EKC+5W7Udisi3fFlLgf5tFizzaPXwY7ILa85hO20fM26ik4ywDIZBh2r4NxStOl6zH0k4hX5c0uq
B+4E7luY4xDa2LbmzIVPzlNsZkMLXyliNOWVDqNY13rFpgon1kzAFU2NqcWW+UwZRzU/RalbrTsT
W0eSvPJktXSpG6vpftlM0TdW1oqNgoXHYqwOXNf3xJi6B2238GBKvFXOMrOR8n8DmEuUd1VzNO28
iu100+TMsKiTT4ctzmDecYzx1I5RFbAfy6532Hhcfe9UiXojOOC8xVMDAWw0TGJRrhgsEi/D0l/R
Frfy/4298+iRHFm783/RngMyghaQNuld2Sy/IcpM09sI2l+vh3UvdC8+yOBbaCFAm8ZM91RPVSYz
zHvOec6Q1E/gZgsChY4ap83s9Wm5M4i5VmeiI4KRbF0RUoCXywMZZ5HxWqa2ou6CAsR1zyE6W2P0
Qvyb4jY5V56bXGNvphYaQgzD3hnwzbDBF9D9Sb1i3s/d4H5kYnYf/TGorJ0HGq7ZpqlLE5sjK9at
tImDdpXnLoYfgLDyUeHpytZDkAh6pwkZvXa2TL96mIvzOvAH0z6OS9/QaWbU/5TYc/nWyJDikLRE
UO4kJQyR06iHforwrIhJ+Pf1wCBO9nZxx3bz7lhJTREUiQ4w3sGHUcl4V0Otha/nyZPyRfGSknWv
ARuMgPPcWGyn0sKwO+kjr8K8VWY93uJ48XyotkF11Zo0mBlOMzwfF8EYXe5eTi4jhnTw60vUzcSt
dCP9H6YGLqHxElc6/hKkA2McDXtjeEN7YIaMzNhGRE4S32WDYIQ63ejC9rZd/JDUICc2EQH3p0yH
5SUizmNnLs4UQWPnTSjYCQ6KbaZYQdHVX36cqgqJET8bnEoolyumzs6DX2McWtXDlNNG400YCrRk
UrvpK6jCGymrFKoM4YfcDvSDxIL2yuB8eDDcroS5Y+GbKG2116qWzxJ/z52stb1NfGMwMb+LaaPg
ON8pENncywff/dCgBN6T0c3P2GT6+9YQJPNQOGP7jG0E1cWycn6NIRfcTgmnrLX2jP4N9y/5YZfD
9S52CFOYcTLeYXJdjL52Bhko44V4qNJ2NtZRLaKf0ILKtU5sy7pGIYPeVVKYxTVNPLEdjZALdODC
UQeG7qxBBHCRGgvp3LbEnB6bqDLpPJDl3WQ46P8TPWHvM/WvxIHShrt847s3pqKtA7SjSstDonFW
unEgAFljzMfuB5t8hRIfIdFAyT3hnA+/sQfNn8B5mZUNMQe2VW9iAd1ADiRlP0mucRBz8leeNpAc
ZZ6wEzD1HO+UKcPvwdDLAseHiNxS/uqB1ztK0r43pijp34khA0VNoc6s7WxAKjB/lI3CvgmIie+H
mk5R10jqh9GlrWekp/sCLbM/UqDQ/VFQv/cuj22zGvwAJnqjx/FvNw2LTZt3G+4QRI60q8tDaROT
c1i3SYFW+ZXYinOCfQP6IJu6nzJtZL2eqZjb15ioDqlNXhd3adF8WjXI6S19JtUjVySm3/iDn7Ne
+g+YW/Pvufa86yxafmlZh1TUQ3DRpFtaorPIHYmnDPhL5rDteA2v5aD0NztQQTm1NwRPxmwRMC2L
FvQQ0VuwO556rKolwDiztmAg72yC5abW94X08nMNDefJglq1imbXu3dHgHkrcyq6j5mx2rIh9+LG
75TaUb9E9i8qh/yRZu8sxb6SivoaAjd4oPKMd4TDzcU0E/cBcas85qYVPypB4EJkI6U6fcNVw8Ze
27ZWjDltCO9IIrsI7lV0x6fb+Brpzlzzr28xRr8tSVqq2oLZvyWXMd9PBKgby9kUGZ6eJl6o32kw
QZ+ciisp9GHfVl61TmNSC4kS28yl92PlMro8amU66UoOY7JNhek+yYGfCy4iH55p6c3M+VyvWkMN
u57rKwpNx4TDSIqQ1HGqP7y4cu9D0yTeZktc0yT22bD5KGMD9zt2OTx09SnpSQisgIYrmuPG9oK6
+g2oV9CAo5VzF0fCI0Jc2Q8j44yP0vNthyhnSNdG1CHfxB1P02BGB1bV8L5KSh+8DzOFrO3En7oM
yXrhX6YgwaoURCTG7i3BKwduDXAVEZ07wytfMWJOHDoDjiwxE87MEgMVfKgtFK5b9Qt6qsYwRBNe
3GgKE6BQbEy8HVtMYn61N6Vjs5tGGEITrYsPeF3qBu2w2+Yu/olelQpya0bgh+3+3fRik6BjByh7
nZl9cOpCh4Osl6JbybnjBkMaccA1ohjlFA2l9qg5jHtr57N2bPxIwIeNY2gA+7GZkeBuZo5xo0fi
q+vAa+qRnoP46pRoPtScD0+JNwJZHuCRJRxbn5qx6yB5Z+Oy/odld3GDFG8ZDufxo8nQL8mwcelh
RMrRZCbMy0qVshiT/fHQYTIt2WgyHd8A3TW/cun4xXaoQ7JYLfElLmkBMXw6Rs/8UCCr2INJcday
P06Ojti5iO4fW+VQrFBHogQaGubTa+NnAt0mDnZC1Oz5ZRPrbQgTAQZvKAwqybxkvumSkNVbDyIj
6u0qItaqkBi0J++btuWEWZ6J4rfKxordSiR1aKws3Ny3dbH0BzJoIzScxuxiK0pmwBy7biebSzAS
sV1nmR0d4KzQSla4tvWc9y06iigzCoc8fGw6NIwjQ/aCdF+rlt8Y+NARnkrEM5qtzOm3FYW3LkrH
+Wn6pLytUVAf2Lw4u+Rsl6vQYWs/arOwso0n5vGNebPYkjuiQGi5XRWg+XddFIx6baMP0u1FjHhM
cpN4Ti9+ssVnrhn3AYbO6Pu2rQ5guoOLAKJUUJznwrROIzifW/AllMRay5C8iCvad1ux9ekp4ZPV
C0xewwMMqHsZq4HbtSJBXbanKSzzI5kPg65Ri6Dx1PR/W7UDZIrjxK1YVucImPLG88zyYvS1WIc9
/0SBJZkYC3P5m2k0ya2K4uyGTA8IQA3xG8JEr5K1dPRb3NXzAxSt8lJl9FQooNtbjKbFMbc88xuq
M3Wztd9eaBiL70K4PS2ILBjQhE3mb3gj8SGyAu/YzhWNr13EmBjbk7P7v+L6ucFIW6nqj/6vi5/o
f5Q+/pYY/uvf/h/yBlnIbP/b6pybz594+p9TMv/xpf80B4m/aNe1Xc8yhUmZjE8V4z/NQfZSr2Oa
TBB+rUHYZ/7pDRLuXz5fAMELGxCZzKWuUpFsi//bfxHWX7gfRBBQyMM6IoP/VFGk9VthWf87oBKa
rutCAyQI6TGtX1id/w66TSz8/nM2q92Yd7G9gdsb7y3Vxnc0cZgvTIWtVx8oO5762csvxChI8/kl
Dg9/SNJraYsETybB01UzTPYPKSzwyFiOaMKuIuFeWE27+CWKqpASOqZeL4AGxIpOOrEZDWmyD+WP
TJTHZ4B3zlrHXX8HZ+YF1/FooN2wVDs14XBapX46x5O0FRbYcZEgT6Bp4mNL1/09XtRcraTnjNVa
5bogpxyzzGox6T27sjLXpS7nMx6uwVy3nT/hywn7iSA0TrqTaBvoYW4xP/aBquTRxY1xrU1/7kmk
tP21sKoiOM32wKkpMEEirXxbxP1RRBQ7U+wW1j+G4XcTiwomGfqDzEhfurEMghO1bFgnp8EW7cM0
ZfWPzZElAUoxZv0LcmzwU0FA+SLKVlkHQS6noMsGZzyCAaDGJAiArxhuBkCeo2E5nGaEmD+0AOjq
dmQc9IGgbz3RQo2xog39B2FPzh7C/TF2pTROtQEvdF/lvvs1tYndHwElYZhoQnRsUIou6c14ZM+B
sVntrBSnLlqFvWTyJhOqVZW8d7mN4NUYoOhN5d1iTJi8rfIb9qF4iND2mbicPUuAeozCwUfmaYs9
rwqBLO2A0yK21xNtT2r4C302rCM6By8yN4rsgyGE+wg+Hp4C7iPzRMMdwg92fOTriDtFHU4sosS6
knXdFdxZiUfiVAdigqFAiD01a96JWEF0scvsuyt4Wljos4j4ZdVhN43Sq6/QQRQBz6XhEz3KD5ng
cKKN14iL9JBVY0graSf/RHnhv9pEEJaKYuTuj7jGgJTUpBC9DmSpVZmMzHrjAJM12gS0K+2pKdTx
RhdBciYV9ljLNKFuBmyM40zOg+c5wXvb5gkRzUS525xh1r6BaPrdFsJNOeIY+VvfcupYoZqNekWS
fozWnk0mh6RHCYcoT/PRJ7RNCcGJCkpj7/kztRRTHpEgh9+woO4e/RSyNzkNu9nbqYZbuOQabbt/
b22PBGfd87wHA+gVzssK5JRfhb48mCG3JbbBLmbgXsU0PoLAzwHL0qFE7sQYhqPpaeLHQ0duBEuE
CQbbEj6X/Tro4zc1ICCBdYp0tauk14+XhvaXYAOQsSHY7wvu+FyXRbOOjcECe56Qfavd1n2XpEsM
PBARFqJ9WHT2K3pDY9w6topbhiREaHejhZ0SUKUicJe5A3F+jmmTuUlH3mhsNaXDgVSKqBxv7caL
upuw9wcwkrhrOLoH/FePsT/QcjF5oTW8ap4uethpUxx3lGT5FaiY2KzXgDiZbdbzUB10jJOBehAy
rURzmmumKq7UiaHxlw89nIc+r8io4F7kpDVhq39p+UbFmpKq7O980AEw1zBsawbGjcFEmMCx4kGa
mYQr34BEUdJJ1nMTz/9gWW84S8mBpHdaZ+rIk8kxCLyFx7GstTkNcEoql/OSa4z43OzAg6rU2U77
JYMco0sRc6kPuaj3q4Q/YpEYBSg+TmdkfOlwMjPL3uXLwc0x6yZax4tIRJcl9eyzBcl5EzoFx7zs
98jHAukp5qFdU635EYsN0xoOiFksCYjmY8YkMi3b4Z0jin/TZ075WiFoFSvggNNtt5w5afEIxlVb
04jKOhQZm1EFwwFY1nDTB01wHxp+TuhtOcWmREEfHEbCazsuxWPRl7HNvNpJIyYMHIDDRgREw3IA
w1YzJWfNaXK9ONeerFLIVxonhp3VSkK8y3G6g97PmfX3qD0up+4x6vO1NLBLLvUqyDyRP3d7c+qC
S10RcyoNRfQmq2gXje2yvqM7svs0lxN+Mlj2C4ev7Oh2fboz2z58ZLdM/H1jeeoJcXL8Ykpr/4BI
HJ6GtuBq55TXgGUJI31Dmec27qtr2i3QDzXHNX3pGSuvb3nRgcmjRK7unX1flmmCHUrDJXXSgNon
+CnIfSp33yOPgeGmWy5F1J75f8C2dquSRvK1CXqB1lluUJ5XGMg3zE+Hgyk6ucUG6G9ykVeHougr
LsLpcOv83s8aeI3pbrL4gbUZWX/XFamCLkxlvBZlZNWXqZBzvVGcHJ8betiJpo6wBVZlX9tHohH9
mXJLLpPV78VyWu6YDsEtFL2JOGZDzp/QDpdRQuTfbM3tZV5uqunvpZWGjPpUj1l0LqwCHxT+h/LR
Wa66BYA57gh2H9zxveiPYghMJEXlDqgu1fwoiAkfk99bdMh9Wnnp3yhuQNq8GUtQWCT6lnevfDdB
lm5GRxv7tNXOvhJ2ukFk/AHCMt/HyxWfkwshQjpS33C14QgOjASYPIXEqxJs3DYLKggvFqibjbUM
GEzkCApAu2B6sLit19dS5cZJMF34wFHMXS6yO0yvSN8gRocWiz+mRqW/3Ka3P5Rf9w8jArM8OnGZ
vVXAKaO7ydZ0cpmpXX5Vy0wlRIcriQ9WrXFSv6OXiQhjuoMy6F2pHeLiKp1lfO5rlKSQ2msiHLFj
cHGP6I5fnEZev2m5ygPBavjDLNTOg52Kau0MipWZN9d6wTBIv7HW/sw8PHYKimCjpoFvMSb7aR70
n2WE2qxwZbODLQMqZxlV5YNTX4ZlfOUsgyz65sEkKbob4o2T9+kzjo1yHy8jsGQZhqG1uCdCmIsg
0Cb5a2rldHVw92SzmXhxyGeTQIiBI/GH+Jd0cGjBlqTMfeX82fxO6QCsTp8QB8JvrUYyzkr1FChG
vg3FUoxTnN1bWL/OvPEMBQVfXq6bomZgyPypZLBMOIqDacxVMMIQgSYSkQLscsaO/J3RXgRp9RFk
SON4DMthB3EEoESY9fVKO039TtSGWWLCCOMzmxznbIdh+Cm7Tm37kHAeBzwjPEcVA6JVbTnZ0eNb
2kasmUsO3qxetR8137NZNcjxlefcJjG6HEXJlfsIXmq8tKoun6qg43tr28q5pTOhT3Bqc9dl7hzJ
rbCj6p5Vf9q0+H3mA4cdVHLTDKPnkMEv6w6MUFuJgCrjImBW1NL+m22misK2tRyn5sNPUrYaH/v+
XVs0zFrqbuw+ta5geP+Oo4smy+5kIlobAgf3a+bTRA5W1jLB1q3VEbqh7/I5mnXwhPs/gzzDX3ZL
S7tJGJBSh83IkOTNDJw+vmZjF9w3dkwejQXG/9GcLSEajyY9soqd+b6MJuCF5FJwCBUaB2YlDWZG
QCtpRuY1O4Ci7PcOaES1cqzWe0jmFAXDLwdxdReNgKai7iVGZr8yCffvh19BIV60hVxop9+ZAbZL
jiS/yoQG3bNqIWZcezdI7tJ+RsbHtkVllGyyb9jV8rGpWagP7q/skRiOu3V6x/hhxUt37M/uTkx+
+jd6E5UARew8B7+KiTIN99FcZJRqTumpC2KZYHBeWCbDpINT7Fbee+b1831htsZX5Rfp1fwVZwQR
pnPZT94fMoRJfZkjtZAPlVP8SHvUL/MADDKfc0yWNRWWGyoIzHQNQBFFyI1bsBtJySp0aJrCPWBf
Y6ockfDb5qpWe1M7+lzELZaEKaEHsXHoL7amru3WxGDzk5kR7QRq2U+v8yJdkY5HxfImr/GY4CVg
lKyqxp8CpgR1LGm3qFbJmWYvZOKie2OIWKzCRTWbF/2MBtPmI1w0Nbam+jTG0j8mbc3KY0dYbAYK
24H5MqpMFm0OMDPnMSN+EYtuZ7eCWdui5QlEvQpxT7myPY5RiNHS1/nOpgFv7w8xHsdkCv8OF03Q
FhXrH7QWBqcjt0ND2/uKbvb9wBHB3oixd28jeuPuxyWp2KS12lnIfQdLDdm5ibzum0Bm/eAZAOiY
wXA0QtGrnmz2vp3rg78e8iD64DgDyzOIHxP6kZEQ+EbBW4Xs4GBuvL4Kz7UDF60O2qX0rFOXbhFL
mcvOmyEhfxq6mtAABfUMA5FXsbDpnwwb4bBNhxx4aYpjJ20EjUA4CzTj14VkTQPduW0Yn2LUp/RM
Zf3n7Dc/86/Km9vhsp1yG6vjMjy6U8vQyRDznitQtEMh5FabLMJxkFDIEJMhWjeAo1ftIisn2Hoe
dGHipmzGsT27yG0XJNL6OBmQUje+05p3zuxEa/qh3Iuswice+wfXjs792L3IebDvbS+jDtLJ5zUR
RNK5TO9XvJ0LqCQCQtDMCwLT0CVoL2azL7C841cTpNGa2ydZ56Bsnl1Tj58JVol7dxYMXk1XpzcT
w/+DK4DsVqTd5R53JfK8uSj1LpJ9Vqv2LitsZgRqKeZE2M/KDo3fJPjzwakTySFznDc1Vf1XPaub
YvEIqByLSPNrHMAbFH2JxU0QcdwA506Hx7R4DTjozed+8R+ked9dcdSwz/mUhkdclXdNju+TR9Rw
jsVciNvK9YYn7XE2nxQzXPKZhn5vQqwN2hI93tkuXgEyUF/gG6JdHngjJIxwuIYRCFnT1+ZuwCF6
aCHz76RBlaBPYWe2KusoWjhYPfWWnEZIi45es8VilUMlg+uFn7JxaLPNuhJHrvA0W7jVoDJza+M2
bEAo0AWHp01sdP0fj2yg9+RF4wKRoiySm4kWMQmaOvlpBXBuJOkCLvaclB8YfRlPdFLkIZzEtI7u
i7Q2X6CdVhy/s+IeLqb4EORJcDbk1o9Kl8rHbGmKB+JjyWPH7WbneksZrDePyUsGPR7OqU+T3bWu
VVkexqjxt3Xk6nrr582M/ap2jh4ToCPq5wIoG2V5T02tcA/LgOQzcgxr22ekV6n/HDFiSJvsNPF9
bVwtQMnMjHvMFhjOr0D39afIExYAZRUH4SQw3TDtS6U09L+O+KM5MGfhXpdbGzesnCfMMvqgyhm3
YDRO5Exl2WJHxCI3gwQjRGXs5GikeuUPRem/IJULc1+za8qVCvPlyAh4eajhTFD/tsp0AGEqVCYw
kBRSzR+aZrtbf7bDV5Mht7eKJwk6O9Ne+paUSXtiglNWOx91jsBHPeYnw0tl8QS/GSlNW717KUbi
oeTOR8hgMwDgbTIYZFKZSuw1WbSgaIpg23B920uGcx4rUmLSSm858w2XTpgSJTvWbhgY5GeRGnCl
SOOp9gFt4lkCLR7A0427qv/gI5e0tyz5LmpvV6R31GDb33na+a9MZoiGsh9xkgZnX2Z5fesEdfNt
t1GE2y+IJBjbzgKaFec/KUa48ND4abKU+rYZ4TJ0EGY7QdE6nPgYGKxkLVq9dpH6KUdJ6uEmzQBZ
cy3sIuYReYPc74+o1RvW9W5Y1QiTzhrbMQpIHncOsrk98nFXlJA4q9AstDwobmLprvAm6FG915ub
NnM0Npq27t5k2CxHZdxn7Dkqz5/wqC5V8Uws7yhPzfndomVxJxUfUburg8w9NU5hf0bG0kjfoUKt
s2HKOOGwRU2eY9QrOy4gsgS1+5XlVv3qUvPwRgsPBriojY37yl84vsq2fbIBUk07f9IcYZO8a4+c
xPNdP9dZvg6nDkZDQcKI4kZsDJgUYj/6sDGK7qmEc29JaYDhEQiq8Fm8DqEk8Z1vl/kHcHGRA6q2
88U4xJnnLVWGwiTlUuSYNq68LxzC1zlGOVBQWuaPpZE3hyEkaLOOW+4eaxFEwHis1i0vVmpFuIqa
gg9JITMbzmtRtc0+FAXRGEINYQFANmjDbtuBaN5nuOxG8nnh+N67XLD4SXz1ArWqo2WhGwN+as/F
ziIyPeNNxRmHqJ5xSu7y2HryPZ80nK0xHYQVTqyzq3pEssjp008M7jNzi2Q0rN0UWaaxLnqYZKfA
6+bXtOy4dPF4uv4mi0bPsVYAanCtg/XcU0LjnhiIkLYsfVnumdbmP1AeBLW/E5IbcCxsMoXyWppO
uki/0I6cvjaDiWUc/Dm8r2H2ARZmhgdXCBQYWcuBR+VEQxKmZmBq0Dy6PgqeiqTlNk9u3ARkaaVf
IVEz5iBCNAKerZ8QwzMtovQqc4g14EwhOxqhOMnzUPTdvEnS0ftuna59xkkTcxlLCh7qTDDSWyXk
/9ZRjIV+Qc1CYM3AbaUrqmZl9Dl6iXceRcusNEFivE2hrCvOE23Dgp1GWPkL1n/aqEs7Mslz6Nlb
56W16HIQDAiNgPe4TYt8hN0CXuHdBXiwmb2me+eT1IpLa5q0C9eR6i61KXqqgA1PBhtDqsW2kaTx
Dvo0OTyaqbGjsC2xrozlCGgrxbKDy6dCKzQ73bjEQ0Forww3GPa2m9V46el2WfW1CZm0pNl5uUUa
gBTascGmD0w93Yo4mR9EE2b13udk1HJlCtSmMfnMb/vEDm8G/CHDGrI2mQIzRdMcsoLxV2YG2l6x
qko08GLcGdVgdpdpQManC4Rdhh76mjla0poMk5RHiS+Kf+DfKsiOTJnZ2biCuVO5CdO04nIu89bd
47Bdms+HiGHRVPENR8aowhsKox1KlQvrT58Z/mOLZZTJIx6plW1UGm8Rvd/Ys+Oc7lEjrzH/KpZN
ML66MR4irhr+C93ZZJXcPuECk+qGzcXqjR3Xeps6dxrSP3IOZJBhE5E8MsW1sW6XTrOJBy95zHJ/
Onhk9PpdTATnhc6b+jyTO3khi8xJuvTr9D5v8rcatPe2SsgGHlM2kS2JF72C79mHm24My08EHeOn
SurpKc2DztjE1RK38Fh2p3POVghey8+LW+6Qo39ohmWWnfXBN4e59stM/eJ5BtoG678eFBRZIz4Z
FmLTWlfLT6TDTq6k6woW1dz+2zKaYcfUQu5GBgpnRjr2OpVOd6/MSWC4KyoJr9Eb5oPkwYXmNNSP
4TzyCQBPB4teROK62MQReGZfP2U+lJAzaU4wFsxXot08eLjsCkMxibJqBZE3tDGXHXweX6B0FT1d
m5By8vSWYUOG2Xe2+vlSUyLoHogfSeSZWEM8TjJhYaiOr3Fju2smidOnCWEXBn+1qU1gb34z5wPV
LpA/q6DBPN5gnWVvS2P3mnE1AW4FVGlJzUVPLSzUJ86isMjMgKIRKmccorlItaCbKIr/Q+4eE6ts
mQOsfWUWfwsFonvtyzTflO7IsL/pEmqVBWAtGwE950TZusX+/+uzpSbJ+X8oMZSBgCfwv0Y3kET6
bP+9u/AfX/BPUdb/S6J1IscKgly2b1Mx+Q9R1pd/AU70BM+2dKQDoeFfqqz3F4Zi0NxYFYUr3OBf
7YXC/ouvcP0AOdeRSL3/qfpC3/2PrYHC9H1JpYDtQMbhr/wP5ISmd3NFw5jc1yhyT0hz86ab4vI0
ehDPe0D7+74p3mNWz9UofP898YriImyn46PLL/a+pOzpJq7s7DWNY/KrTEhurKD0wuOIcAUKXrQx
QWiuLq9iHpDIhjJHrM0g53O+BfeckUJiz+vn10C61Z+58vQrYfcIg42kD5UTzHhP0JspKzOTtd1U
2Q4KuziNbS8eOzU0Z1uVmM8tBfYJrPcxYjYybixhLOCoWdj4mVV6Zu2SXHJZI5+yJJzNI22oxplY
NIFNxyanDxG2d0EmFOHzWKUNQS3DObsMcD+QFTn9pIafJWTSp+QlJNL7HDrTAKpVRvzdkiURYGeK
I5T6cvETLB2i7KRFdcKuEu1ItWW3s0gZkaWk/y9Iy54N7BMZAm4hdc7oqO2DUVdZwHQ4QTamqnXX
F155w6lumcqCJ0WT6p0CRBPZ0D9kqI1HZr0hkaMkHD6ZHhZgZwwcaORmpuaWi4AzEaz3CXoTrYIX
F8UUdah5mo4uCCYy5uDY8fqAoKBMRO5qnH0X6SjnmFoWoEBC/JJjchocROcwlhrln1gvbWVuDMqa
bjq7PXDVA35WBWZHuZw2eXfjLmBcP/sg/xRrMoDGEl0aQzlTdgtEUmV6u17K9mfSeZLwaoTdvqOr
47sm0/9uMW/71VrPDimLB9zQ4pkwQHuTOVnqMFg0PWNHtDo1tmPXQ8YihBcxBk4x6EJHY+6VjQEu
gbLe0ksJBtqp7OJE7sVDvE2HE2NB82F2au8sU2Mg90FZFXTi/AnjkL7aph0Ph0oAQU9mg/YdUjgE
/lMH4qSJwfSuptiKUF3m6xun9eXFaYDlm5ZBbAw7YXfs1IxCXg4L1aN1QYky6IQ6FXWgCLIA+TIc
1LUw5/AjINVyMjLbfvdaiJIMlPJDJFrBy1RZwW3b8UKtHK/00an6xiFJwvSflr6A6AycV3oGdlY4
MOj31SyPiv4pBsQujqaEIMijUbGx+VNKFjcxNk7dfNQUplEHSgqCfd14aWx8YW1Qnbh2GjuvC8l7
TPadzkAioyjvCMCiDbT2axgn26ITaldVHIbZeWOCmP4ABrL5ps2ruS3c9tq09Z8gIWgdSjLmQae5
h9HchpHhrqDe0MNutrZSl3y1cDEUu11xhzbIU+96eDN3gxCgJZj6c1S1xwkkIylxBr6eXtnUXJy4
gRBLlQB4bcYs5DB1cfE9293yMeyfy8Aubwzk61VryWqf27rrHrRLEx80kbzFRWcacCc4khFzY9fk
eI7yAfWXA903iGTT3LCaUOZUgcIITv48xvFedrw4K8/JjZEbwsA3yRdhRa1kBGdilENnUKOkMYIN
vpf9JLLsdp2VGjvfTR0eCz3urcKx92Zvm1tArwiNLVcfVHJzX0QUAOLnCsNnj5d23eneJz7pZDsf
J1m7oSNlmW7l4GHLVHe7KU0xGDqJefVxRn/4Fjc2/HVtfy6EoFfGC7P7kIjSzkyr5A+2LQhPtMKg
CMzanNC0ocRRnDqMNK95fOBl373Xdm4eGkRvXKBzlhwWd/Su44KF7qE8cdOSwyQeESQH2m7aN1wl
3J7biTaCECBNgcy5ze2yv5q51RLr7bAEFtS2b0TqeXvVURjP66/uiV0vZjh0vq8I1PJWiuAwR86Z
GeB00bAy3loRKUB7I+GJzLh2dc8ZtPSzxylpojuX+cid4My998tS3jflpU5wgvb9dI9QmGzoyO2f
g0D2O0XZoVhzV2qOULaNW1OVRFgYh093A+f5C30Dab/OusA62QOAnyDQ756RZS8kGqobXubsochm
+0M7pZtRhGKOOHuocLiLYvoR4n4i/S2iWVH8Qsfd4GsY3zg+ae2ZS4a2+BC3dtBxGp4xiM69Q26p
n88tifMENBlv3TxkObgPjM8E/ES7phsseyUVR6qxHvVdEdvy5OXFzEwtn+u1ctP0p8nijnAVObFV
YTjJFYsMT9ny//ZI3N7rMhEgPLLpIKza/baGeNq7YcTS5xMxYD6VYwuArqihGMnSuHhAOZlJRkw9
Brb7um2w4lgu6chseIwD5URMBKNq7/t+dgzmKdqHREzXSRjmr0bZzc/a9sVllrQwoGg24lTbkC/X
ZSytY2TKH0ZsjM2sIftiMtFkW/SP+nnE6I4zmaNHuQma1ruMtZ/eCF9NPoYswe2n+JSKOh7pZZy5
mRMRPlASlXEOIxAoQ5B9DKynOFliUxrbKSqrB/Bmlj4OTTI/AVcSoFVRa08QHtwX1WT985haPwTG
qnmfhMoA7wnPGe08+ps4dLQrXXChq2k5K0+MXShPHIIRPpoUL9A0hyePpeYz5P7MokuYm5tXZpZI
W6lTPwPcyf/OZU4Nr4SyU8QJ48xCW+9xKphDtszn7nRTw8NnER0xgUDsg1o/M+9/C8LoaykF4qPl
E5MIqBgTyJ+9gXm6sa4mcb8VOI/hNDXhLVD9hjE2hU1+N8zHEpVFXLOWD8mhY0Z/HssUSQrqJhPM
bvEoBdjk4pRDB0hX9VWnxS1lZLxRk2iPojacfUPNslg1rZFuIEFxb3DEQNyPZ7qbTLbWgua/mj3l
uZqqfGfRpgSexWrvc8Y3z1k9GxtCr8wG89Jd1yoHEl85xhONRtvRnpJVawr/gehbcdtSuEPoJklf
LTInx74tum3bl/UPA9NsP2RkeLncMt/1yuDtv7N3JktuK1t3fhWHx8YNAIkEEgNP2LNYJKtvNEGU
VCX0QKJvnt4fdON3nKNzfK4990RSKKKKJAhk5t57rW+5Ip+ugeWWn8hwxh1MziFZDa47PdZLWhfB
2hxM7OZAkyK6jcqO8NM+qmhWNnj+IG3+9GbDAo8irzQK41NusN0zVLK+T7+INPEvOg0yWLIXpt6I
T9kvfg3TkfFnEJgDNKGFbzMuqBuAIiwkC/4mR328HRYkDnbIdj/kQ3znLsAc6xc6p7Vw2i44HdKe
4ffFNJmtgG541Yyf+YLfieHwdEq0BPmA5pkWSI9acD3knKW35Gak6M+HWw6daKv8wrlmC+gn0Czr
5QL/0QIqlxffTm30nYE9TCn/6oVhs8vLlp6Ds0CESr3whCqNzDyCMcSaiNqEWJnoKf/FIGI2XMRr
mtgIreSCKfIWYBFpy6CLTAY974OelYdssCEA2NU+332ZOT85ZJXdHkeA9cImVe3HBYzk/WIkzXnF
2Q/tnP+JGN2ydnPNbtQ4/fCIvdPbOLB5FkPNObUS+cBhcrqhZxytBDo3EGWxz2luaQgxyMRCXIYW
uJqhluIpS63wkDctHYmMxMWhTU6LAOrCisD4b0E+uSH9rlUeivhN8xO3dBpJ3OacOV/qX8wobYKP
yjhZP5a1Xd/yvMqOsxeQqXrBTaWIowe6sUConF88KuRVsKkCTrgbeJpWTU5BkT3OaFdJ4SLX9528
gPxW/OJcWRipLngjyR9KKwwUHFZzexXR8blLmRdDZssbWDDNL4IWxr1FD8TAHm1ToJlhpZF1QrTU
0lxYIFyhxxHD6QiGYJZy6U3pZpu2yc9273r3KjQdwQFMwNVHiEDw3oL6CnWnyLJMvXcyA7qjUj44
bIj2oMFyBN8RHOagG5nJIuHd0PWEDVRCPsdJPqinZqoZn9Nbn7ajYq6AoFPtnEru/ZTYMAIDsJoZ
8FzXUxLUe1atD2CV7cq38dtGyon2eBVzEhqRt9rhnV3Jn9VCOAuK0jiOSUCAKbxhZoEHR8YX1OH+
qnc1VltCuR/NBZBWoGDfBws0LTUDsYa+tDeWEoPJ5oELMaMk3xUlZ0PeyQ1p8D9NQoI2cWgcbHck
gz7lwE2JnK5inIiLE+rVrwcil6LwCXAZHv0sfIbc4a0oB4n5SNor1XlBsKQ6wy/AlUZIm4jJ96EY
+W4E4jaVyaaIpVrPfszeYIbfIDxBSKM0Axthb9rOczfzgOAiLaP26GFW2ua03VbSDWZ6Q7kgeZZQ
sxSu6ybuGQbQuCzXQwaMIbM3ZjZ+MIDbENV6aMHfb0qnuM4wAO4GOGRb7MfzmWcPe5UI/A1bj0Xg
2VQzEvRtcZMUTfgQQGfZOwHQXtBUHf3LDoqDEy9UU032+0w0N4dSY+ohr0lCMMGzBWtFt0qsSR1Q
ZKVnbX3rkgwSk4bJ9VU1OcHpiApiFk5/cAwveOkW3iC+N9CDTH8pWJKFSDj+ghPOC6cw+4UsdEPt
v8ByGD+gywcnGmaDPNSw1zjQyLdw0IQqt4b0kUXOFDhkAlrxg6vDkfwNIeaDHkFDsXGYryFSp0fm
5BqwDrNDEzZQ1tx4nkf7uleMI1Ao6FfHaZFlcCuarXqCJYBipifpMo+1OoxZ9UH6ulhVLvBVfPxr
ElZ8YvPM/sueusjmdGqqS9gJdaDGKloeOZ29T7gvFnIr+p6yDvpvPFkIUaWOUZbm0T53R3c/TmzV
kuziox35IcFg9nhoFV2ClYosf4u2RZ+Aq9BgWBj/L6FMs/cy8+N97LYdTAqv8Z4VBxcHpjM980Uj
lR7/f/ft/6b7BoZC2AtK9P/cgNt3yUf90f6xBfe/f+rfXTjP+ZfjucJ3XAn3ipuQ3/fvLpyr/oUY
1eTUatmOaYulP/df3gjnXyjK6emSSqCW/hw/9F/eCPNflgUszbQc26ZJZzn/L9xUXuJPxgiTV1C+
afk4MGy6IOafjRG+Hfduw+h+2zIMwGJIi+Y1Yvm7/OGi3P3bafHfio7Zegwr73/+98Vf8Uf/henD
dQTMCjDKpWcvfnuZhoNnMoTk57l0lL71poFMG9k747Y27fdhrvt/N4xx3YRf5d+8oAXh9i+v6EqO
41hPQPWp3xwffj6n7K8BmRzWkleugUVFkBXAw4MWFcUGnkf8qIjVPLSBeuiAwxqrip/6Vkww4Exm
sTeNG4kbC3bM1p47dC1TNpzzcJ5vrTHV53++QNbvGNnlCvGV0wuVPg5Cb/mifnwg0wm5nNb/SCgJ
p2GkYUUsd/45kLHCDMjiT8zJxCiS37uCuYSKNFblZ03D4JMErOFlCom/k91Cu2GpfkbTRvzRSHjG
P789+6/3CW9v6RlbkHy5J3/r1Xp+ZcLhntxtBy//HM9WOrKQleS1NkME7B4pErJTXZ6yVoxb08CW
2YZ0NnjP6gCJznu1Sf++Yoo/WZbG9W7cj6C4GdJxoqOtVPXpu3BctYdUyMGf+JrvXWiBKJsq/fDP
n8WBOfyXW4MDB6hiAdyMv/98qVU8D2bbCbnVzHlvGSmqNQIbO9xQIEY3Qw1+ekkulFujbIZPMJxo
3LK8WEQveSsPo+sb9904tu+u0wuchkSh5akh30YO500jz14d20SRxgyjiJAnWaPrj20ZRds6TN61
XDLMA/nmY5O8tAZVbDFdOW3BQSRN/ZjWmXuxGLbfIs9kKm1HTAjpuVjBDqCQu+L0gn1zYg5kZ4M4
19qMPhWzwnlldUKfpFvRsUmQDsFft80TfmhShBIbTs6mBAX39s/X8teD+9uDTVEqHcYBwhJMB/58
LQl6ZXzcTHKLEiO/lmZa7Er8GkuE+N4T1k9Mh+O1w4jfrPMR1Oyhq7Php1tl9XdHV+25CoceyyaA
g+NQZtnGYwjnQhYgm5sTk74D4N8c8HWE4ynU+fTpd4NFryYgEi0D3on4O7zVM6Fy60zHDLpDc7xV
aZfs2s41/8ONw8r6lxuHJ3PZEpQjJI/Cbx9WYTZBJeBum7TqL2Fud2SH2AZqcpb1O5Ix/F1lAUZE
uoPlsVLhSWjJABhrHMmqs6OeaXFPX1Sp5o9//h7+Zn1VmOjUMp9xIXQvq8sfVo8snPI+k4OkP2Qj
QqnLnzSOjk6LIMcb+5t/frG/uQzKobdBf1IoiyX9zy9Wsj8QK9LK7TQ13ptJ0b48xcn1n1/lbxbE
P73Kb09phjbHbQQT5lTE8ZeJLfN26opF1NIW0+6fX+tvVgRFs85fdlQlHPu3y8ctmWhNhbEtpLBP
wsjnT3DW7q1TC0gO4yLeLygwSipKs7jzi6De/PMb+JtL6jsglj3F+u/wz98uqYE6vYqk3Gat179Y
Q0UzPCCm5Z9fxV5+zR+fVqksDg5SKpZwpm8eLs0/3iY2S64iqo74AFk/aCA6a6SV+wRw4pgj5Y6v
Y0Hc2Dh8jiizuygzrkjlaDrPpdokYpg2ftfRXY8c5iP0Pfek17S40B8aWwNyRFS91THTMrOLMFhw
7l0Jf643+VB90er4D+j13+8PqZRcmncLgX05Vy3TxT/c8rMzM/9xa29bse2AygRL5qIw2MwukR//
fN3+ctl8k73ZERThzEWl+u32iGZIPF5n+CBv3PAmmOiEkQrZn8K6yHaCMdKBS+3/hxflKPj7U+2a
0Hs9jkusrJ7kePbnjzhQ49s5uOltnw1PmE7LrQjJbvCDcXgTRM25YOKaB7TOOESHdw/Twc4DI/eR
hHCDsWHjWkT+6ykPQpt712i85ixu1R6d8z5rseA3Qfwe2M172YO9NdE5039tViS9063LkGQBuz3K
tEde5jXmne8OtKZzpqHo58OVwYgCVNtk7iCOyjO2O0IgwAFr28h23jhgscTBj4wuv+8g8jDuCzUP
0MME0pZF/5g6Cphp2V1n98PR82eBIvFazLmkPyjDt6Y0uqtRJfZuIDN3E8xoF/NK4RLAM7PPSLQi
NKvKkveJNtxm7OICf8bY9J92BoXLiRzEVGjunPcxtoGbmfmT1vBi1B4bDmmJofUDqFm9hdmJMs0I
sR5JSZBhm8l6J7EVbIvY1xR+khDLqc7x4SUYNkYXbaSdYA4FB8yeC2viC8uVOpNF1exii9yeIE6H
YO1bfQDe0gV2ErBLfaP3OGzjpgBJnUxr8LGPlIGEX1YChBf2YSdbz1U0nSCVO/dB1Fd02mmcCNS1
5XggmGve25k4BO5Tx5h1Gp0NGTn+z2mgrTB0T1TrXwmny5fYZkgNkTjf+qp/zSMiBvOx2TWMemD6
VNZLlSTivk9rFCGTLnN+V8bo2J99EPrVfe7PL+jCFyMcsvZW1zVj1ZCojVQBuaCv1V/rcWbENGfy
julR/kk7tLl2tTId8gPDn6pv/T0TpuZgVkrfN5my3opKZ69DLPZMO8BTISxTd2WZ63vqcIwoIw1W
uc7tCtpP0k/PGXaNe4Hq8FnDK1njzJ2ejCjQe10a6QXdd3iYx9p4SDloXTpoTwSj2ubGqnKPV3Y1
MZgkPqfDaG6B1lsfRkAUaEn01YVaGoUS395hJuD2Puqy73XvTd+T5RMOpjT2VOl3cOH2c/lkIl1Y
K3rEVTCdA8Nr9omZDMfSSssfAXigp9LklqxEB8earuSGwYOFNjYDQNZW7WZerJflGGKUrYjmTKty
3ph6stYljpyfymyQgPXOdJNj4bjC8/6KKvle4I5Bt4CRgShMOx5fqe5LOtCDsZomDMORYHTQNdGM
MR2lT1eHr4DXXrVPtxVRhFV/z0qrfQlV6h5ynNZ7X0zlVgdMqKh8GrIZarmp/do9JKT/7GpDhdDU
eFP45+Hz1YVxhi6Kz8YilrtOiwdW2PFQ5dVwBKMOgdktMB55C5G9/xIyPGXlSAMSsGmxKvAZrhOw
Q3sb3uBjP/pqi03B2KVCqSuwZ/g0paEeRTd9b5QsH7J6cK+oafWKZ3DeOCLGppXLu1mb4r6Lcr4T
eoHFBl5Fd+Pgg+ChaqNd5A8DXC/y3Gz8Hl7SI00kLm4FgY84g2COnlsB/YIMvPlkmuj2ZFk1a7Id
E6AZDYAytyIY1IqSD1Ry3W0fyuESz0F2L6dyYNpp5FtD1+0GV/JeOvF7FYHLD92k2BAFhPTEZE7a
+ziHjDy50JxllmOM9g8xJB0AJEwJROGZmxi4+51t5D7zJEo7dydy5wWNr2QNDFFvR1CbLC/FoWl2
D2EwnSxiLjrRMERMnoI0LfjEOr2H2UxGzhTbn0SuZw+6Tzjpq4EmXtLYUFcI50mgmbvX2nZB0WhS
i7CdPVoBrlKwBasOBgDSy25fzLrb+rVNfEN1ijAf0w79XsTMDuKid/YwdO19bZiPZYplMhr7cyH7
4HbokKOsJLOEt3bOrY2uhiL4FlKe9asoyD0mxBO2Gj3XpxbbO4QxsR2bNLx0c4PMzh6sdTSImQDV
ckxJ7sHL08U+rGjZFM7O9XHjgz2GXsL4vEyS9IRIr78zLEbCQEALxi6lvpEuGEnHre7JFQCSSzP2
I3bqEn6kme6twEMUg1KFrpwT38ZBLd541+WW+D2JJCjO9mgD533k6gjMtpHcVMoEjOiyc9Z05hY9
tX/o446I7TahHIQ0tmFcmR+1kDFLP5rGtE7Nc0bDcddWLN4AE+5r62ca0UcAlzQ1T6rFid5Ykb6z
h2x6IFNBnZj9Tnj7vOREZ30i7bUNXovZn946AuSZIGTWAzaDak+6IHthZCd7p8aCytBuXmsIRLu+
glutwdIe4wi5RCJCttuI+bOb4glMoTPT2WnRWXTlLRmT8tT2jbwNRCe3wKDMJxvByH0WtwLqzqBu
HT/stqafhOc+V/yr8XuyLpJPnVckosrcXMdMug7cotuqww2Sy2hXANDGilAvq4sfYR4mVZhzP1C6
6dhASBZGfaO7qzRRajRucR0yOpuhHlW7Zi4cbA3QQWdRueVDO8fyE4N2/kZ+qMQy5LxMgSM3ZWSy
/SEM2cuhrwFNzi1wNscnQ9Fxc6BdFbknAvKq4xliE5sJihu0H48wIhx8/HPm9zv0/himBHlh5sRM
NbNAiM5Ozo0ftLWhNyPO8SNpqcwylfmqnNa7I1oPlfRoGPeQkrPzHFefKFisrZnWghNwVhePRd1d
cFMfvIYoDlXfhOkc3snUdzfj1BPjDn/02Auuc+jFcl2BDFnRjjo3Iar0MFhzUAt2dZAPZIZbGCsB
1PrXwfK7a9s24TMlJrBIKG3WDhGJG628pq8vjvCDF6/2rIc8b82zjf/lRiBROI/j2Hw2CDGIiayi
6GkoeDOG6cgvMZr+DxUjm0tjUnbsiJ+zAmVsEMzXFnwHbe7AGCM6/mVHxX3u3eZ9MxlIVMpiW/te
8aALrzhGVdJj9B+xPCXC0CfYzGRYEk2LMt6KrWfkXRUQpdRX2LPZr3vaP+UqdzHLOoMGhqG6Knhy
tNXx5YOOXDUkYeynCscv58zK1asqIiIa9BEeK+mP0GvnLNzUDRMDrGFREGwTQpiZZZaJfwFM2u/s
1Bg2gmKIoL/AkO9hxRbkaXLCQDt65OHgPENAht96GHL/7GeV5s2bDHY5zyRi22ujaggcMObrSLYN
RyY8q1c9Rc056SGSu/N3x0teO/IkyBqe7JsaB9+h6+Y31P080MwdcRinkBTFXG7h6qF5WrYb0/ZQ
s2Chq5YW0bgpcrfa6Ex1t7aomYqSSrfzREIgHYgxwtPzYDz20bAj+3uDrt1HPwWI32Iok4PuKJKT
gUL+pRjnUxd8zo73oAb7qVb9B4apo5rCb9Ag3iLbcQ55aOT3VW+qQ2MWGEfM3LvNepW2m6yMCSAy
LSTR4Fb8S27qGvkTtts8MzqLVhR+qkTJ4uzLun00mjTdYPRDl+hou7ukmL+cVeNKCcQYc8Cat9Dd
VYEM7zN/fMQ5Lw6Mk4r3EV86cSuIog60loavPgnaxzn3qv00lszctPYOpBKGmETY9j67TjFfywlZ
DR03WAWF0HueZAUmsi6ZOibDoTctpp6Y+VcYdtXWLaFerEOfEOlU37spDReoETGx002sjx4BNi/M
9dh0lOoFrOhQauJoZ2pWE73tqgvc+Cc/g5eqzrH/V5OBH4tjDByGeYYDmA4q2XL+b64gteJo69Bq
3da2n9/2TmRALsb9umOa7e0TkH8suU4p1lZsG7ui8dWjMXoUDB5Nw2dmgOU7Bbt5okVREjNh+zzc
xJwaoYHwJJjvrWSAcJoXny1Nx90oWvODZxj6pxiCQ0r65Z3RmwDAPagXJG3WSKqYrp3NSATJCuV6
es6iKrjWHD7IUUiZLVpZue8CFW9i4VinPFTPWW/e2HlDck4XYniPqujR6Y3ycZakr8PanO7jnOW0
yX33nlg381skM/+hAy9ztj2A0fzK8MeyFH7LwzJ67Ia8kvxnyuw4AQeoE8N/9ua2ffJSBrebro1/
sLBkF+L7xufBnGK4BF4KWwfp+7dhKio+Q5QeIsgUt1kbhxdrDqv7vh7LG1Q54qjDrr3EVl4CwrHD
11h3AQIKclU1MpjTQCzMKefA9gp1htSFGoDznjOPRlXZOwb6otE/VHiniNDpovhKZ7B/SR06g6Mx
5Tel3zc+IsWhuYcY6dFOmevpQDqwf3Kz1v3CgmhXqzkp4nvBrXqPA2wqoNoOtn2UHvVxRC6SdUhr
mrKgKUhGRbtSHKJiSF6bJq/fq8Qx4Y2bDA5WZTWbzFHDIXnuLOlvbDVZWwfYD2aXPKewUeTM31ZR
H10MAHVbS5b6gPe+XxnCgn+HpfqObTLZ1WLOBE/JQjKZ1AQ0qSiejdjIGK0quQFYTMxRVbSX1Fuw
wAA0V6pPu4PmI8CPUrrA5tFhBhicjKMl0Y0e1hmjYtYxhko+GBFCE6IqOYUQcQUBGS3Qs9VaNExN
hD4oCuIKElswbvu5t69Wn+M9ITGDSgod2YeMguS9kNDitoEl235dFs4QP4goavdZJTjsGvOEn6sE
p4Rtd3rgg9JC1wvcasCeiNO3nfaj5+aHVBimeMmDoPnZY86ktKZzWNzYi3NgTWEgh5M/xS5JV4Hl
TZuMMNgBD1VlGFf0Cq06WYzoF4mTfIOGlB9QkoiHbBb+ITZi5uZ5X0L+5oSflDztUgONLfMBXdRQ
sRTMc8d8NI39aJcXeOLbEraV9Galt1NTT/Yt7b3AXLtE+W5dVSbzSg4VYgNEsOdU+M0zxMpkjTvf
/UVEQeysxp+z9uecNrCzkKvK/Lu09CIKzNgiJ3ZYcKBDL25z0MWvNqjbn0TOQH+d8bXw0av3LkC5
BGlbtzdshSwDfDdOsZ26XNUXqcLp0pQubg3VzfjxZG/e0g0LWc/7PBs2xE2TzhWU+hpj5byUUDu/
UVpSLnpDpb4nSU2mtM3C/VpZyk+3SgynpI0ABA0DKGlQ4K4mDMSHcI6k7o2REs9Vn8UUenH5WPRY
MINahunOUOJ7ZtOAGho8+K3D8IR+5h6n0E2aDuQpI+nhPDMb4QP4rOxp7MZ2J0wdnjQo3isaaoPG
R93V3grxdLObirk9Tnllb7UR1y16tLJ+FQh1Dwnb10uYhkhJlYpcXOuD1dzUc5J+lByXtsNQtgce
1RAhW2fd6QbkDjo5Ul5wCeA4XLcjOOP1OE4BCeJexC459vMZYTmFAdXwd1tW6kh3NTzZ/fjVWP1X
3RjPJiXAkllsHQXMlI0qhbNzBpbQUhbdS43b+QZytH+boIH66r0cNO9cxtOFzhY7Q87BekWCuNet
4ILRBq1jAmRGbXxBCkKywGztJ1zXocGsGhNq77gDsRRj5ERy6xKXgmy9jyntXcaZQLtJkFtpC4SO
E/Dhygmraj6/yLrumQfOw/cYNUa67hXyzTHw7vqoleeWNVjysYINkhPi531w26eegN1jPTgtcXDT
u8lvIfwdy9uGwiTdA4KFIMMSMW7qCXlvRx8u3JM3hDJcDVeUTeINsDufnG0YfyQGB2ZcpLYUuXhh
dyIbN6pmQJ6TvBjWiOW3SJDQZanCwj6fyQ2qTj7SNmLgKv05ZSPttrwz9oGm1jXGhHTOCtMmKiJY
8sQL8xwYljw2HGmhBbBZkSgzsiW3qT3uXdDM+9JskD7WqNBXYWdrjF9GsTOd2juWnh1iAI5C6xGa
pPuDVkbib4ZE4Y4gkuw4W81DHtTRnWXTF/RxYVEDduIcEDzUQjQg1Gsi9Uapcjrwjbfkx9sOQ1c1
cMdG/qns/bfBEB74Dte9SadarwG04PrGl76R7L03XeKKs+o7d6M4rrz1FlkSOCZBmcDt2cJ3GNZx
T8Cb4/vDeRwUgvfWNKatLyKmdQX11T2pCNx1/dCfAKbEP8Iao6LOghqQJmM0WN/Fc+7K9CmEAP5g
GKH3wry+pCSKgxx6d0dqNEKucp25CRkBTtGqF2Vg9BQ6sx/bqfCpZ2MEO06rj9YMoFgL2Gc1vvD1
ol4t1lBmUWA5Y076J2dJlOQlKr7Yw66NrjuABx2RLeCWU/+NZRSttWtAedr55cDRnszM9sgUWs1L
KpjOd03sdQ+tBRgl43hfspqqCgzSaIPy8eVg3MfZlFyqsgxuVJWj8ypBAQ6DdG8BnOECTolKwMyW
bGTfUAM1ZG7VQaLv4rG8AwArni3gdkVtf4tL98PPkIjK0h1j/Jx9hdwJtdKmqN11O2VnF9buIQwj
84EsnIUwIdRNPg3ZOW7SpwL0NmquPkJhZluPXu04TyTJBEe0zvPWqPrHwEYJBBxjeECRaZKiJ9PL
yE6KJALrJDkCD4RXhI/unOf7pq0Br+R0mWnoivNQOMgaiWLadU1ZrBiGvHeqNgkxyYz9CAeVIFVv
36Fz2iRR+7OlWvmcCLkU2hjXHfiT9ShnD62uxoGr86Npl2T04OHYexEho9kCSuQOF/hTxRw9YUHY
ERO5FRhRjhazrq05NT+cJp9P4TCIq+paBPV16pDGgxX0UNB/QvFldrsSYB8YpdZWW1teK1lRirWp
7te1JOCUtAoNKILRst6aVXZSxG8D+Nj6SUHItNG95778JBI83HfGaB2nAhdHqzL3Ho4s2DVStub2
YGjqu7INHXAh0ZXeb8nsIN9DcrkvDUlsBqg6libKYXvIR9r5/XSiAfackoURatODZgTcK8a8E/ad
PgpktyE8dGqJMfsUbRCvU1F/m+fw1rKoKlZhXBKRSso6geBa2WwHhtxpSQk0y/hI5FIDrMIHukRy
FZMsjh7eSRqk2pGyaqzI4fGwXUAlUUC+aFJSTkjLH78VWDLRvabORpQuRXs37kLWXMjQYdojcZbf
y7xwHskMLbptGNlRjUUZ/wlhUO0hmyY8KVQV0Q0kKmJdUbzK97q3jPCDpJiUx7PWLnWvbz0JQnmp
tXq6benUb1OeW72mlt7OSk0+WDxNK6PGsxUYTvBYaZzjceeX/h7v7dGX5EIpxPKVtNGgFj1ivwP4
sPgj8AJ2RS/hlgJbWCZPBqAiRo6WiPyPMA5YiC0MgGsTwmhwcmPqE8jPLiYp30/Sez/0pDgyzk6y
9dQxH2FAm9xmsifTPIVUMlQ2PVG3hfIYsh+60PiX9dRHVp7W8UMy9Olj1xJeu2bdKPYimelpDgHY
GxCRrveui6xbsovlJyifdFU7fgd2wefc3FDXre1yzDDHtvZaVZNF9Khku89MvmqKwZ5qEfGrcQ+T
8I1GcQ2/fCDZYGy9G8+V9PCRIqL0w1MyZxc40zgUdHUVhBA3uf6ITEhqzLmuxKWuwrK4CiM8NQkY
D8daIp2dsAjvJQeSM3dcRFpzUlERA75vQnIwJ7T/ciRUYbL1AUJozHRpQuqX+Ps+97+BQXuQ1fhG
Zjo0TB5cnngCdo8jEshQhe0et1l58YXAnVRzo+cxzcZQ2ovIxuoe2LsLdsiULlmS6XxLGUCl2hoO
FuRs7vMvzB8AbB3RrDn2kAkcCezmATWT0wOHRccSrLXfDI8Lruw5BMtMGpagSZ3J6pIgYDCz9NwI
I9hao2dtLBXRpIDvFLxRL+SEY1letfFSQSB9KdpvsZU0+bp2p/E0t41JKAg+OQ6+MWPhqmXTzQlX
YVSxhtOGuSD0D5NpdRuTUsdm/cnLi5kV8rFChspBi/5pbCKnx7Lw3oSGtZ8W7SW91fEcl7ImVGmc
3yaPqi1fM8qis+Fys1zdOn8bBkvchzNg+F3TiumbNuP00HE6PhM54b5NFT5qxpmSo3U6y3WZTL55
HjPDRK0KWpNUDigy+7wJg6ugNfSD2pQqhGi7S0yiJo0Krh9X0og8a4veNXumhCN6hTTAdLLXUMfM
k+MbzAuaPn3O2+pQd3rYyXx4aZu84gqGzwyQ99pS3iFjlrTtZjKlTWAToOdqSY87Ma4iZKTIuhI/
k6gG7E1pKpOeG22VuWb9s5jji64WvEw87T273hApgKI3HdiyaeSvZxXTgY/0NrLJ6G5Q2nQrx9bh
zp9ymxofNYy7QSf93e5IF0DUqIdDTv35ZhY+vVXXqY4ysatPNM/k7Yw2N8gQ10G8yiu/f8ykRWx3
ZbUpkdRkvvjz7N16EfZ6e3SRz+IP7eGoODg3AdZWq75ww/uoSi/AQDhZ9Dq+YXLCyMHOs8NY+zA4
a7NbHEH5MD+A4CkOCM+GZmNHyj7gecFLUkD55rSSJG8Jq+KP2aqtdYG45tHVAbhdsr3ik5wdljDp
9XdtytistwMKudI2TuB1NCVTVTrH2u4d4psJX7sMnGNu+okAAUZo2NBWUTQCIwDrwMPemraDAYBL
vjbs7iUFcUn9MQMighy8H5QFbMq3j1AS2AaHSO5lwwkKZXZrn6ngylVUM1XsN1U132M4aZLY+CoR
Pq9rD8Neupx4h9mOH9DrlRfh9x3I2Sy5S+bZPfAoiTvk0/OLQwbRFpW93GBKLqj3ZLuyZ9JFZFqi
s08S1q3CTm/ROQEC8HrOzkE1nFhxxzXWVrXrWKVJkk6Z+5dkCK/SKrBeM9oNxK153UanfoQEXbhE
QfsxfolS/oCuDiCMrh6bRwrZaAOI1VhFg5GsYVoMG3pIAmCEBcE1Ndo3sLDy0eL+vI+0xa0Uipa+
w1w+SKRayJxtF220wK7GIkuDqneOJrYQuinpFG8UrJHHONfpvmvc9rUKWOtKkEAJFDSUbSt4kXzi
3Ogi0kcLkIA69EgV9sroh4OO9l3iartOi7iecaIBV0oRQwukYa0IFF3bZuhypTIyLQoxnSJDseWE
Zc+3M5SV+jAG471Q0xc4SnEG2XXHDUW3nm7SOs/a5C4yrLzbdEm9VA4LO+dCnpTO0MsPTbcvWTwj
oDRNf+C2rjg+ClqmQ66io5XE4bNXmc20bERwfUof5C2SeM9DMjD7t0VvBQfp5fUPOySAm5574In2
Whn5dCzMkTzY1OhreFcJ8pmojYP7kGbRI3dX/JoW2nobbIFnAh/dNjRkuAvKYL66RUlAFA5aBqgT
ALc2s8w3VJftczrbNKZUjkE6mS11jGo4xcjGwi8/nNVGB2a6Jb9meqyAIt4W+D127BbZ1vXq5qYY
TU09avY24xfrV5XcrQFeVScjofoCeJXdSKA3R9jBOGfYQ0jbAvixa5x+vtBoaY9zlBofaRi6L6Lh
oF1QJB0aI4I+45KOOsakDVstxGh77D4NEBXHeLADa+XZg5uRZhLfYiAZ77gjM47UTv2OSSP5ARqY
XnoUzo+eZ/eYaqh39GZifIyCYUPXeIW+kT9TuiRPE3apjlQMskHWZt82j9aYNxcnLav/Rd557EaS
pNn6VXp1V9cT5sJcYIC7CC0YZFBFktw4KF1rN1dPP5+zqrqzCtN3MMDMpmdTQCKLTDIi3OwX53xH
Xgs378Dl6Kj0pdartaTX2lVRyAZ9SsR5NMMZJQUsaefpYbou7RaNio4F2iG598GH03EdlgWFiO4w
tEmNnueZRw8gDUtMd0ofwzpDQqIhoZqa4qQV2qOTa58m0s6HrNSqu0JZPvyXIZqr2qJbWlF0EVrd
3Yykvz6YcNPvsFgURAff9oxaN7Bf1VNS2M1Z6ubwpPmQUmKEKEeziNylcnz1xLHyZJMXeRq1uT7o
s+QaQJJxzNNGbNOANPIAG9jSh1D+0WG92lS9ASY+6yJaFcHpgMBqR28YERRTGm0I1dKS+9Rpqm1X
u9NzFlQ19uhxMt7hjVGPNaXQFil18pH8DWiAls1c1sqJWJ5BS0GJu5jUeKQROf78zgzKfVbazH3s
dlubjjqUvU+alK3rT9IjtJyBZudnUNQz/ZZha3TsJux3zGxjvqszbIpSJPtApea5dKpmnXmejnko
d49KZ6QR51898xp74M5IcSRtKaM9olbgbuOHCMXSn2OWKpupse0Gz24YfqBS+nSZti5JogczqG8G
B4lahft1W1bFZ2InBYE3s8euhlc0kkmTjNYqzDqCsoKr3ikug+LYGSZnNczUW00H300KxppHdql0
C4qRo+/TrrwfG7D3ELEd0YW7kbwiSHgRCgS2QgRxDyyyXMW4J2vEIjC03SSqQ2pa+A/HK6ti+j3q
NhshvuWucaGHWS0xA2zcI5pJpeIXB9z9RiOl80RMS3IPQcB+kDkdYzFFjMKzQt/+32mOe65Z3a8x
tgWvWhhaJ1pgsZlI1dzmTdQ8fivm5tSLf+jvmz/nXvzlj//voUAzmP3LJGUA2Uaf98+dILvXenzN
X391gui/fc3vPhDAKp4jhONInYLqFxrL7BCxTVsIpIXoCy3Bv/O7D8QUP6gqbBuXBoJ1VNZID//w
gTg/cJUIPugGJJb5b77fjr++Pf/486/+DI60v0hDKZ2wSXiSf0W4HiLnP2sNE90IDXjYOSNdzb1B
ltg7GxzmXAwTNVjAGfgs3TLd58zfk4VXIRGUAxIAgRR6Bw7F28eIZqA88z1WHeiOS4EP9cnoc+ea
JG3rMZJkI3HomIx9zfgNWLd5jX5p2Of8d2dnSCGXrkBaOBea1kcyTCS/NhXLIjsVxgPtKtqCaA6J
pYEGE+Da6QMiCuIFPWEcZiv4uanMBEsxUbNtiJQ+KF2IVnMQbTZH0iJ28i/4BeMTiQybCDAI40aq
BqaU2KzmWNt4DrjlhgqIFiJTyYyxl5Ms4S9J2a3oE1hNXrOVyrdRg3TPGpJ0ZVYqWZvuQFXTMtvu
BkJrFaP2lee7KzdE7cM6Q1zh9S5PLEy0wzDn8ALj7a4tKtNNR4d737WiPTEWIeraIb+3MqxmH6SN
vub47e7SHC8gqjq6zxTlSqLktY+K/tomY2dbwSx+1mn6lpPGrRY4hrXWjCq5SefsYJkwSGrrclyk
c7Iwk11mgVFcboq0IJkNIi9XnpOu/bqFdYFH6RGs2VeetyUizLYGpz9kSf8M/TS4tF3QP42h3zx4
vvI/kbNzxljuVMLorzAsLEfW4tHeFgq5VMRWaJ4IWYRpYbqlFp+c4SUeq97aJBDEzrmLuihim3f0
YOWu6xJFOT5e+hgQ1563GlHPMCXRTODgmpUyNi3VlF8xXs2+9HGQO7/TDdZXhY4nkLnaFfIqDSqH
rO5ZGqUrq0LQwvzxaxzi/BZwVnHQBts8JXNWdDanRg9zfjTZ3uoneOLogv05WDWVdkd0RXmMu974
YisvF5mIYejGqlLFIg7G4dYw4o8QCq6cA6zLGrZ9Nzj+EXGmXKk+n1EGcYFy0G/nBGwHccqpm2Ox
wwKNYDQ142GoJucG1dEWOePjEOZEu/VztHY3h2zXkAV3I9ukXRARwV3PYdxESq+NOZ670Bom4+Zk
2rf9HN/dtwR5j7Y9HKoglM+hWdvuOpkjv9GkRJegTJN9nvT9C8tf8UqiBkIK3PYQKwkO782qWUUe
+zVb3kaDXhFoScy4pwCaxmZVXeRghkTEKfO57Agmn1RHLgFw0Dl+mMnoycqg+KALnwPNG+nBljPh
7qK9Yx3k1OUNQHYM6W5Z/vTZeRGwlgm1w+pBYyFoATYEgGEcEGMMksLS75A26KQkcDrcQK3CBDlA
e8NHmREF3hl6f8Gx5RyQdo2MCLXixOATIFAbGzfR5DanMlf6ug3b+tB0DsoXF2oCWOuytE9g/qNu
7acYyknQ0j9de2w/lS2rEyXcUK9YeU/6Uhpduia/AIlo3jRAasie7R+jOswreJWuIOJCqsRZeSNa
72yM6S18M5bHypy9tirv5MnIHbUuUi5W5Vecg/CkhFyVVu66yzymPW9JEok2k6O51y00FfbbHMXP
RKLM5P3BBu43p8tMEFIDss+QfdMN1ZENrLcmEf6qZfL9ZFphkGGaDtTtoHX5B6Nde2CHEhgvFuMn
CZq3CZ8HtB0W6tQEiYxDb4VoGDqw88yGoe2BNZnuI1lOEl2q3j9VwoAgScqGyWZTK8a9hhg237aZ
a+pILSPtjRBRg1gDWTpPCrGYu/ZSl4nR7A83i3E+tHt/5GAEtULUXpsPG2V0o9q6hpit1IanPdvh
kJLRVgyEo4x6MwwnG3W02EU062w4GD5fkxRZhWusVXjI0LATz9pofVxvR7gs0LsMWdzTjlO39wyV
kMT6dfMm6ondm2LAER7ZzxrtfRkK7ejUU7ZRWdnWawc2Kh6oKhvvRZDgOraMRD1HdUByahbReC56
1VvROmkYuiVKs9mBNtJPIIfqMTIpE62YASrgAIHD3ut6SyvQmNHwVWt2/pMhdkPZ34zpEv01II1k
qNK7KHH8n6r3mlPqWV+IUGqUH96dNQyCvYAMLFzjaWFvlCB2SUk1vIwopxn8qM5+sZRAPTnzVfbC
DmjOI4wH20DvnDuf7Yp7Dua0aBqgTGekijxv48VIKde1w0Y+SWfOpA3wocfynsWP7AaGI1zD4CKs
iJ0veUcNAl+BMYk8hP6T/YzCqNETP2dHWDhCHGcnLekahxiLWU/UZkruNS3lua95EJ5KCCEPY2sn
xz5zUPhnOiDAZYErZNyCFuq2PjL4R4UN/ZRkElR4ohHSt87tPH5iWMPP7KRudrAtFt2raaLpICTe
aw74v6qfUIwyax+RwMKk28lmpK5nEjVTiwale84bp5kpG1RNNPyAsgvSj0rrsK4OVTxdAw7niWkx
YEFhTdWRM1R/FXo7/oTbBr48t0bmwyQucPbmJsksfGvWBMWgnj2+/rbpsMYTUuwxxJRSe67Y7h2B
6IvHLG+59LpBgnTPvUswDeyMSy+9tUwQ86t+kN0qJPr2ZKbYgxaFzyvLodvexL7F/BEcRXvpOmtE
GB6ZxYuWFOXeg9oX84yW5j2pQAilOBW1N9SQIxpfxn4IHNHKQtb1XUoF4Fbpa8SKpNxqXYfOI25H
PIlxVNTVNqaLe2rJKr8vcpF/OiHd/0+sI4yJ6rF37mIzDoPZHcIr2cWTYqdaJGcv1Blztf6MwLTQ
QR/9llxFN47D257AoH7RuCTM1qTx6fGUvvFe4Xwnyba89E3LLdAx47csfbojl3DeT5GoU4PvnHvl
BE/creYkYCuMShOXEnoykVXKcq46VqgsZBhIYRKNak9dOfDHRhiyNnEsxP60rJ4T/vXeMQgRNJLQ
f/LtId1nLIQwT6a8qiisyotqBvu27SMP9ULE+x7DRz7roIxO0yA4UYVrNXeKHPG73mUcwIxPGBu7
1l2e+CDK0NWO9hUqL7NaWtxwfDLk6Oy0eKZEF7piPd0lBKBOoqWi1UHgNoyGbmzIBzoD+9x4nXT6
QA35REZKTCOu7XrgFfHSpCLUdeAVKq0y2uls2F+TKDXf4aDzYwVe3F489uW8viGx8Y7lBO+QAtKd
nSrvErHK2IZTpXH4tcZ1MhHvno4Sdw2Om2kb97HccdMyQ8tsHZxXFsMrQz3deFc+UufjYLVM1QBu
tSizorB5YSGPHj7NG/MrLb3s01exeZC+FryxRBlZMTRMqGASXYeuKfYjA/px8T/SDv7rxSvCKcTq
/v9pGqPs9T18Tf92rl8/PpvwT93jb1/8e/fo/RDCZekGVApPO9OUPygCjqSvpJ3kwEbyR/wpf/NH
92j+MCQjIeFg8jcM+si/d480lqbjzCxPPq7O91/9F9pHw/yrVQ2bGigCITHjGSY29r9Y1QxsL5Tw
rbvNoS4jCGzYezWeRtkOEPKdTyTHlQi9S19Jd2trfbbILL9dOX3s7w27wt6Ak2HHpWOsCsibKvOy
rZW18UtaJ86mwNUDags1+HvVsrj2GhwdKfEp1xq7tDvXC7VNoXIwyTpt2AcGTfRmYePclcDL+nUo
SuvdT4vMWjCnCjedlm1GT52i2EqP2Gp1Cne73RNaswduY1Gd5KTZl96NAG27KxHOP9lB5X0kGooR
KujRxyrhq42ZY7dcziF2HwHk5xclfXWYmphFsz20W4Z/4Q6357gdSXTbNuDnV4GRnlgzuzfgM/v1
SFYU3i6hI1NVs6jMohyC5Hju0fizWh9CPG+mPW79NEeNNvlR+dhNRfFJ0pl9Qj1i4mZQD1MjPAin
jXs2HeRHC4OID17Vwucsjwp23EisMUr6IUT+xUgy2tYdGU8Dn0meGhBcBxrY9pAnxjuCdWxiKMmv
QE3Txjluc5+y8dibWH1xZE9CLoLEid5CZ9B+Gn4ATixqrKvAbfy3cuAQXQyN1L4IqW5PGSXNU8HN
dOIN5/dEOrjwq5yVprCue8YB+crBB7QE+kULKtyvwQJ1RB0HxjqFKnUgYAy0IucmogtccgyZFZ2l
4S/5wFu8UFp+b2VGDNwOnk3oKvEEuJkL1QYh70kGqKVK9LntbnalgYK4Z++ydQPDoZNjA9wxKC4X
QW/GLP39i0uJvZJs/x4skbaLruEWa6fQfB7owXbKQDTXWU52E6Vp7CxrN+wXDBQZSaNVWDl+s+4T
x1gxwq7XeCc+Ac35VG55Ka91vYv3qnIXvOn4I1uRXREF5n3I0goeh05nSw6h5zIORnpwQyx+fQ5s
n+Qhr6LjBRHQwzm/ZbohcnYKGmGWhVUTrc2i8aOxmhuPtI+ljpFqo8rYuJ7MMdvEvT0AYiXudIFY
3sSo6aWPqeMZ1WqwyRvWMl4zL9YRb9Y5yeVsb46a65Z31MzOcQJ6sxl74qrNARqg1SxsKsFtOTrO
JSkJQaawI6KF5bisx3jVy4SxPoXRI34R7zrktyPvAw7hWvg97W0VxsF1W4jgbE6MRtvQnKFoYHvQ
PfW12DZmD+TIF0zMxxhtYybzdxeYnMcqSat2mqytDWpSd43o7Dyp4r3Rh4Ob+PFSE/3KQKa9qfFu
ZZ1Z7tyqRljAEBQ42SogVQ93fmwnSyO0/zNfsDmfar/6qTn1DGFxTuvoPjiE56HaLx5k34mdvmg4
DmgmDLjasgDbU5as3vk45uUVJf68ITbWcAaf0iE1w3VR1fg8Jh2WUEBs7LGduv7LJ6eSHPE8PXqM
yrMlavPkqgjM/KmAlLBpHMyTaxtnKNGpbY1omwoxufO+n+fk+9km1Nm09jnPhb2HVWweejkSQoj0
FDGpsrTk5Zdr6vzb7/jrwNCx/mpZ1yFmWtw8gBAsm8vnLyf+SH4RQ+VAbHUZgGEjPTxLzHsUsS/C
EvGCYHuFDiGorpxaOcESK02/cbuB7WlVYzhZaIGs9bWcwiKl3fUHSlhJ2j2RNp9UisFDmA3j3qn6
nUXlV5lTNSwNVb+4TbspQipemTcHIzVcVmfRe1WRistnKzsPiKv2DEwrxMOpOnh6Ex6MKstIAktQ
hWHlMvd5V5v2UiSiXfM6kmjdJ/GqA3W/xZeSnZXTey9kIOUvYye6DTup/M3ITHUtg7G6TonO2IT9
LFtqe+ep0GpCjTLTP49Z1N3xR2dTTyp6QoEXHhD9TSuIn+56Qri37RFdbAsbz67h9uMeiw0GA9SZ
PvohI7hnjxWT/kWq1pIfm4SUOAk3ieXp27qX9ibhkl2nZqKgS3FGruvGry+tQTxJYHrlhRLfW1W0
OF82+klUoElyVHinkT7JmNgnwmWXpNfIi4at/IbMHu3ebHpjx6YM/c3kiuIT2fRwsUH4XqRT5OfQ
r+ozK9vuIDD/7UzdCq/8StQ7Jpf7rHZXbReSDF4Qk1K5s6bFUToDsr7vb4d5A9X1uUJdnhIlG1pM
ZdNRIXkhlvxeYdJeMnSg0C10AxSI6T8UvkUGu8/6rI0J/Gkn2WPHxoTzwoKqP00Qua+mmsAsETbD
MQ9cgmdc4NEUztGVI0c61dpxTRRl8YjdhL3sUtQdDlFWTTfMETCTMNQGLKgHSDwzUG9gTXBA4W5b
e6Boz4rArpMNOhwpR04zFpjkgtmOdxvOpwjSDcoVZ6+xoqxRBo1GeA9weEHqQIbjY0SfyLooRnq/
jLkmSAlMzs18ZgVEHmHB4hwzAz28zSZN+8Jdl79381mXkndW9LWxsKDfLQCVye30fTCq70OSk8Ja
qfnkrOczFNUd5wzyhomDIBQkK83nLQjd/HGYz+DasIZD3hecuSV+6qfc79yN0Y+c6HpR3XVOVRwn
ZDgvkuHWqkgdh+a8NmBtzxdDPN8RznxbkD2Efi+Z75AqSCJ4BwyIoiVuda4g4ZWMyD1tbJkd6pXz
MIpC3iB5t/zVMN9rzMxM1NuYSOS2EXjntK6ELj3fk6qOpxWsUG5QEqTct75k4c/OXpFMZRtReSzT
rOMMbbNqV/hJv/VDQCCY2eYrfRKAG4NRa9AwyKjbEDtKltTU8BY531XDOBcQGpXENJcUACQoLiAN
x+g0HbkK57pDUD76XlgROTizWP3Udde+poZjRkLOCm/psPcldG/ym7JtSemzwuQe72OlSKZQLuHh
euch/BwKvAR0eslJkoiwNzG2n+IgM36GhW1dtyB67/JRZ6VZN2GzYdTufVZTaZwHZnrvXaq6c9SM
0aMGZvTeZ5jUrAKhnD1kaG2lYbsYwAdaCJx0oo0XtHHmta2ZaldrVYIiii/l3DDg8nFDyXM2luGh
RFZ93arOixZl79RvQ909CeafK8/V5sGWKeQm811969JFk7XFLw6i1NhjkUSTEKK9fwg85liLspFY
O0mKOMuJqHCsstY9Iaf2GUe3XEYOVxd9Z/FQItGJ4IbW6d7UorhdZdgQ80XYuTEXb6mWOMfi5mSX
pF7aXe/tKCyJsPUm9Y4xouQ1hv8MeJYHbdP3kxQLm2kXig24lz8JyJHbJOYVJ+LCjhDvlcybalc7
eFWHeCkehkPsMIBDElV7GJORHIFuFM86cIEJOeYDLk7wkaRtb6Pcjw4hCvCBF821b7H6JS+xaZMq
I0g6WJh11r4FzJJeSoXaRDikWHhF4m/5X94EOqj1TOJct/CXjkbp8eHXnDblKhfRrUZ0C2BrcqwW
BRuBhghF2zpH/Bp+EoP3JwjbLUpUr/H0KQyN2WdbRHTjFADaHNcBIjFqK0z4hngqmsRCoNSokzQZ
fwQ60+QeTQ5f7EzIVclSIcLArbBxuOxM6AEWRLIePGF9QSt+w4BnYnbOSGDz/CLfOzAeeNqBii7y
uArumPyPW04eCms/ERdieeDqFtlFt0rjyap0tetUWv7sJYFD5IPVn2QkwDxH9bHrWsBonriYdmoT
RxBLey+t4gQI6CZmgk3RP+DsHgZ7nbjcFTxWMPTXohuw6SNItQFRMQrZu3bLvesn8sBMz9xNbRmv
9VqOzxgaSqSBCBaGXkOmFNr+u1FH1jawif/GPT6X9VNOjA4L84lkPgtnYehvPavSNraOdSeqs+gI
qTgYj1CCijtb64yHkP4FThlQtM8uYRG4NJPGvSLpldOmC8z4Pi97FhNTjxsgzpJs48Tk9dVofimN
iQHnSSQieeUATOC7dtFrGgFD8Z2yPhiwd3l+Gn73LvX3vXLjY6737dLlFyWYKdZSrIVBdZPYTbjL
Mbuuey9tyLqYBhonE5Qk/sj9gMthG0n+fYJtnKeMSjACnzp6J0x7I3kDZrExdeW8hFWkb40O6DPm
3oSEqHTkqa1HAVkgDwl/K4tmH6fNM9u50+SIrxmAuEZ2pL+2nebcsLHleiwfGoQdjOQIbLszgnrM
tn0UTR8xO6UFupdL1uYU1eA8Vjhg9RWe7H7riqpZjKAntkLZzJRYYV7aAFcUsiOO4qruao6krl0F
SA5vS8fP4KGzstZWae62D4wnpge7VEiXE+Gqpe7IK9i07A3nMJ9zmhfGCRYxOGk/sE+skIxb1Uct
ekXCrPKt53jaPdAk82zqef8FtcBvZp1hOWBlCabQvtHs0drVUUJZpOWnjOmeJSqsAg0SWyzW8daO
VMUpYtBjDI22yuQHpLU0xraQswsh/4AILQ/Ja8lOEgnWdE1BeGyN7loK9eQmxKTeAbxhvM9Er8qN
+CuWwXWSZLgT4K/dOtKvnvl8cXmxWLrpCRAhAS4vn0TXsQ+IUqYQ2Ce0euvxRD8T8do/2plnPiPD
kj9tFknLVjTWvmFMfuAmCK/sFB8TTG0dO2uarUn1pqiIg31bx4wXHSKZ1KDCWza59t0o/PFFMhYm
wTDI9jVBfsspxk5H2rZMd65by4n71BmeGPvBz87J6EJzZ4S7wJLZPo3Gam0x3mWBjNEXpBk8QQ1+
+Qh9G1FMEe+sQtLIhlSyY4p8tYv0YUcNiWnJKnBVL4Bk+WeZ4jewqlkKnyprTUZR+Ii4PNp2RivJ
e1AVzN3a26EeC9GmRCPe9Nl1wM8APDWAdNvBX3iqunHeoA4A3fIouwtyDlEktNq06eYL17VDlnF6
8phqY3lILGR5sI4pyIgt3uDJpOdHe/FAxEWznlQJNYEzA934mJYzY9Uxlm2q9fYSah1PYJILDuwJ
gf3SVjxZ/CjFsvUyvqJrs3Y5Yle+jDlWLo1l93sZ5OYuJHZuC+uuWTWtPfKoRNkuN5hytzlB8rqb
xDDhQGTjY6l6VPNyNYKhPBq6759y9hb4fN4kg5k4Efug4CtC/4hBnICVBCK/KkKm+C4kf6cX61RO
44EJHwiU2rujL18aHu7HxMiAadian53CxGiXWd856EW1aR0NMqRNQhg607LTY+hKh5fA1/d9Xegf
bHCx0xlN/hX6ZDJAcYv2rjlqIHZ8DKmmz5ac/PYEhFKRPAMHQfpUJYZ/Z2mdRxqMnZ7pVdqjFUm1
B5bMZIm9rnmJNatbtkFUPme2iaezTIsjYSHQWJwy3pWsXnbCjNKt1dXVVW7mza6J+mU5UEoOMWpn
w/ImlqKxvuUJMx9b2rVzqwHwztnkrqOM2UeI/EEXYPnbGRJiyMPQ7EaX11PlHgZGtWRx6N4Zeecx
IHfiiy1Sa18laXrlRI2LdJU4VL+Pz4Fp9+q36faftE6/9sLGf9QKS4sIAvipOKi9v6DqIPEYvm+Z
7laDiLeWVoz9LOhA0lQSSTegAPpfMx2Ch4DsRQwNrJdAXIeldouWZnxDMFfWhFrIcI2bemK3MM8r
memYmKXIt4HOE6J0hhI1TzgFwTGAugYGhCPO0AMYBmJnGzpE7TfC2v9mEZfQWbGY8N3++Uj+9Jrj
Oa//NIn/+5f9Noz3rB8OcmNhupb8c7CWZ/zw0GohZ5CW4dmug17r92G8IX/Y0OoMBF46+gVTorD6
Q8pl/nDRf0m+oyltz2S6/l8Zxn+PnX4ZS7nClvwzjiE9KWdR2fx5/WUsJXHil5pIPCBPnE5jKJJl
EHkHq+WSLxEIk00UDATUxTmPZArrO5yGRzD42n2uRz/rwKtOWuVOYInYfiLK7e6azrrVEUotkonW
UmdbvjOGQiBkagI6/Nq/WIab4UHV9k3te0tLuUSSJM2dliewHxhkv0ktwU9NEvgSncU5dmPXxW+b
Ud023JoLrg4LGWPkTatS0ooQxkmuk0/kzdSP5amOrSFcyWoUywwoEPJkP96SyMy6jhQeufMaLq9U
ZeETxJPPBDGUswraOUUUtfFLZMRvPU/uLrKs6xgd1yIBPH7s3axdMTfDJmiNX0JDvWqpvLoe6I4x
d/vZHXLs6uQlcjfCIUDrTcJ8HclhyZ2hLzH4CL5R9ITqCw1qW5JsibKIX6jpsQThkRJ6HV9ix0PI
LnDD1EamLxs+ImgZ2qy8E3380cvGosz0/aUZjuy5ddE3c9DeS4ZimW/l5x3rg9mZ6lnBPcyFZWv2
2n2nnPS2S5k40E+yccG9LTAmOTjFARKEwORyHdePXs/f0+gFK+l59EWGRijyXdSChfCNgbjWii3L
QuZ1t1IaOZ+7lN5eo4pI0yNZv2288SeD7DELqpN/xBTTEumIbI786Ub9bI3ar/dNRYm7ZavRHapW
ViQUIJu3V50c7dleL3ApxPN0ACmYJd7tyhwuRNAyYXGB0ZAa6FTVuOwg3njrURu9c4smzsZ5YgX1
EnOCZCTWT5z/eDCip7ax6xM4CsJfca4h2Q0IwLgJgxw6VdtrSBRags8jtIizYbm7oXBs9NsxaRnf
e3GDbEJYTuqsewtGFkez3vd3ce344c4ZB1Ud+ISZiIhdQoNXjVMZ15rW519FGWVISlQAcn4swSd2
NlJhEA4oklposN6ip4/pl3bvoSEI9nhYqE5lz7hCJmvkfRljBFMs2MkFa8u8ZsP3lDbOeYhTgWFQ
GGjV6l3YWuFC1rCmyinAeVjcARh680vrXoHOHnVrvI48k9lVcsp6VV3Fgb8yk2Jvhyc7Y5WRO16y
KolyhK3CW2b0ctVmI0JIkZhnMta1Tz7Oq8LNF14nzkZLQFc+uLdA0lAEUhBkHFEbLzNKYBHqy5xu
M5xWjcvX6Hr5lJF1cNuAoyrtMFr1dU1IfEiUHOMPe1Uk2ocVpcm9V2o+tUlzRmS1argPGZDVAR8G
N9hRz6QLGD8PmdmF2ySBodGnZrCr8E3S+2cjDkyN0XGGpXlENLpO2kJ7tSAvLipnO+RFuJ5MYki6
EuUALKccVhDmOCuuIBN5ZgFpMS9OIortF28M7o00g5PiGmrbE4PNIxNvSAF3V7pJGjlgNOcdDWOz
rvVxrbtDc4Wyb6AIwi6R09F10rnn6DsFFPsLs4IOlETups3A3jK/2lijYW8rSJNZ6WKgtcVH6gTM
Wm3sJQlOMnYgy26yMH027oM2dfpn37rJm5qCr19up/9gEm/Yc3nxj+PeZe1goyi20TuasDwd5y/l
R87eTaMo93ZoIvBaZrGBQwv3zCpg8nvDPIqnRJuUpASukuaE5zHCL1D4bJg6pt4wnPqQcxJBD566
wvfOsVEqbx0MSU06dBS5JrqfBA9q1CXjpahzndGlz/Os1z2eQqdMmXaguqjt1VgoRplDWXeHRA9V
uCWsRKv3tS45LPLSPzLz7Do4BfNpon2fLNX3KdPMB85AkLi2V+3oGDueSwQ1dY3YS5FesnHDJL5r
Yw1LbloJZ19XkDnq3g7ecX0VC4N0JaYG6irF29Aj6dioKOLdjLurOVnvKEV+NBinHyHrxHhCcRcn
Bl6oLAswxeeIFztl3jHlRkXCcXZl5z65RQgyV15H/6IXUbPKBiZCeW4cTOW0yKaK/LHugmINAiXl
s9pUGUveRMd+QB+C+8SeMOs1AAmZs4gYrS0bJE4hEFlxch9hC+iPJENkLJCJnw/lYKwHaAm4brWM
nUGQX8LKm862T4vVCMJ/izo+4ruxzsrKJ3ohAreeORTYhFdk8smCotIpphpFCPyTmw5t3gdrTrWO
8vi2ZhN1sEWEJjHIYv0kLD25BrHj0LjUrcDq1WZTxEDdsI8hcR03uZtpWwJrrXfX77StrqXt2ddm
LyF5QO8+Ro0R60+lXkZyCkFRwI3xpRK35AmkK/Svb1bq6zsxNNm6KYjSWRhZfU5DBMGRNLZphlZM
r/QDtx0zTKV1Rzeo3JU91NW6D5t6iRAgQqmDBX1kYyqf8P0M5G3EP9OA698iR5PfxBvXmhuiziv1
B3IDC9R7w6625njPtGQUZn4EQu83dqW9V2YM6Ce39G0ZtgccZ6tQx7Rs6Edwtz8J/ILfGe6LDriG
bqMI867p3tlMKSU3w6Q+snDQEUuan4UVeKdElQyCHVFvXEb8O5ibr9JtmgOsk27ZsLz/GKE8HDrb
bW6zwoCW19CFxyUi8yxLoNx3zTvFokRSan50FkgwDarFskoCd5XpUXS0Yu15CgGoZbhmr/PKOxHA
R7Jaoox1Dl9rBZCdyVBb+ktofTmrx3pC7KpYI3YpvmpOK6uP161boiIl+bBs2tNUEjc0QozYOhYh
idlg3AM8G06priMXyIz8ChOLTfGh29fEluu3CTu2s2R6y948wu7lpsugF6gUfej2B6JjAXQA+7U+
Gz/t1obSy6+kC0gaTuxiQ8BOscoaEFJmZvC3s0uIaJJ4W/XYtJapMsbnATkgq+VhNH46o2rLRVcj
Y0O6TOw560UiBaI4plmN6K9JzwJgRiK6vZAguRHBzZn38z41O/rzHV3Pt3XyfXGX35c41mQudNNJ
A0KWvy/67vvSn74LgJKALTKrvwsD67tIsOd6IZwrh+8T+r+7j/rXUz+RXwKV+5+3WodXMFh/+z+v
Wflvfzu+NiGJ9H9qu377+t8FUPYPx0XhxDRZtyyJxujvAijCjD2UR64j6KHIiOD++0MAJX+Q5y1x
VlNYeTRkLOh/77lM44dBFsm/s3dmu5EjWbb9lf6AZoLGwUi+9INPcpdrnkMvhEIhcZ5pNJJf34vK
rOqQsiqyCrho3AtcIJFTSKLL6TQ7ds7eawuEUxzlpESx9G+cuZwPwv7/bMIGx0BkejyxX85apUVM
hUKycwJcBtcg0e8CzTpoaCa0w0Xt8ChsA0y68P4MHc8r1TnZFq1zc5zGITxUUdTspthzL2TJAcec
Rm+D63bc52gpt0YfogaojYhnXbli2NCW5+wQQu1rqn46FBx2Vzkiwsdx6S17jAS3XWPGe3SYzaVQ
VvYYUaFjK6lIG1q60xr66DGIguBQzpqW79LFLsq4PWV4TaSECJIXf+l2ewlmDpLmlyZ4t/TD/aUz
ni098mFiXaw+Gud66aFXH+10zxf+GRgcxP3I9vu36KP1jgbEuuuXfnw/Ncl0bJohOU6Q8qCEc/oI
gYafTDTzHXzQa+lj4Pv9BFVlVqbXoVU7wEGYBcBbGZAKMx+AUgnRsyvnb0iU0y3TWnsvlolC5sUT
1BYsWMcu6sj7Cn6fQagCaKbAX3Reto5axVZOarChw6NLptJ3B7cEQ+ba2PgR+IH0Y+KxzD6qtMwe
mSrXjxyd1d5cZiQeAxioGC6wzWSZpUAfBXZZo2F9VbYKqQuEtE4YOmQmuFSixjR4P2oTvOB3hlF4
4zlLD9K0WeWQu8U873NcTkuH2GiPknyqF6NOMpd+GHZ6o+j7bWJyPgB9zk9J6riO1soGloU5wdiX
DMS3KGnFZs4ptSFXQHeXFk7FKFHWDaKf4r3hQIirvrXrByKnaRr6+H2je6QYPpbnwcKAMEtiZnAt
Fyh3HVbPywJW1SEomvjKZU9Yi7oNY253pXFaG22F0l8BoQ3ZOGg6YUxx+JHWVctLfFFkdiPpMHBR
lVMDcMEz+pHuNTlghBkg/mem2h5ix5h2RSzC96mWvCbIhC7GCwFIay34qMTbUDfWjSe78IXuVwZJ
MjT42ygsVBQJGWpxMAWMPRqCV8KkX7grVXtdWRb0tDmoRbJTMyp/C1PFTeLk0TvmrZheAhSmyUrQ
lbsVgD3Mq21PY1DPzHACP1dqn/qG+YNJ/fQyMy28t7kshFpD2O8mU1geaUzZcCjhCukVsTIYYO2k
g9RdD3k/oD4qfXuT0x/2Vz6stGozDq6DEK0Ywp1leL5zFSeEiG1og0YQ3tIRzk1DkRxv8VK4tzYY
RbzhtVEwGXW70tqmovHpjo7KfNNTU7EDJ8JEjj9HpOFGQFtRwYfuqZiWkwfM1eAmH8dXy0SdMQmc
/ZSJ+d5EzHYzQsk8G1WUbWbROFe8KcywMfGPD6ORRi/0LpMDccrZoZ5CDLpIAArAEz3hj1lgoQDs
Cn7XGbjE0mzmPo2YaY4MDSg53alNBnAvgaq3GuXLHjEmgiCOEBtrqIO31kIHsBl7A82zl8TfQc3o
71GYDpRl4XQxM3y+SkrAnP3kFlcpLa1+FbXGkjYpJucZ+LvNzNSzC9hJhBue5dwkHDtV9MwPKfa4
e82rLhVo+Z3gGYNAvWUSIc/mgamOr8gPSQY/P+sn2332nYgjZ7lMrb0uRYnYExuxrT3WHnT12bCG
eomVZaDlfsD6Up1icKrzjU9/Ntn0nhWepak37ieZ+NuYSqXeQhUKzyBB5AgCAYrQLm+9rl6sRpA+
aye4l7YqYC13wU0159dTWTITGEcKHccvd67hT5QgrqrvpAuisqhzyKeOk7xWVuxgC5knZqjKPCFN
OD8MqQ1QpsPxDY0221sJlIjcjTWnukZveNTbLRhUe1VOmJQon4xTGY3OtzzqcuaRsdOeuAggMVjl
yYXBundemFJcBp3RoowIh41Ztd2Nyzp/1URDCDmrwjs/qKw54XzoXEnlZHcCF/+bID0V+V6SDVsF
8/Q4F2O6NwMz2avS1SelExmnTMlRqWurBEbGcBg8ri7S8wgqChR4W8/fIyPo9mlWJDcFk4ID7pPr
YAabsGG1xKWIocX6xr4NeK3NmI66NJOuZxNJJsRP3YCwNItTv4eee4mOeGSYXcXvAMSjG6Zc4Z1V
Y87k6WAqHumOiWbXOhcCl8GLLgr5yLCH4E1z9tf4TYu9Q2fUWwWlgOQnyRvhoKu962K0geu2s9zk
9qzPhtZw8FzGHlKdVISnEUdo2pCRxsaRJDt6qPahN4YI86jo+x1MmfzG9Tj+JEmIjHeu4/YNsUES
X1jeML8AVBToS7PZtFZmVrnr1B7Hsxgw7TqaQrxNmBfOyLIfvlnwxXamY+KeYBc7gSdbLWu8H9dM
0MJsLYRTIpW164uZDC/iEYPGerOHqkTPz/KbdROyKtOf51Wj/O41nP1qJebS2g3ALU9nf1ZvBQqR
XSW6gQMB29AK7392YiMROY2Q/7xYCQpTJldWdBkBiEHblLfJrnEBqUWttGG+OSCau9pTR08LcRwK
VJmBAVisttPkZHIqVjqD7zkQkIGwsQlHGsCxBAzKxLOTfsO72Tf3oS7bdcF2so5KmIfZWHU3moMN
9MnQu+vSYLiKB41uoJjYrxlwH33Cc5FPl8TQGw7FQId02Euldxawr37/3y3jl/PCa4UbP4mYrv/X
hzEed/bmpX/59B/bj2jCa/XWTjdvncr7v9Wly1f+q3/4H2//SsAh5Yj45TDk+NKWXDX7bGv//bv+
qMv931yXnhRBgij/ifVCB/p7vCG2dpPWO59p1KGE5gSUxn/U5cL/zUExa5ofMzPPs/mjP+pyIX7D
j4Calmmaw7/Q7frb7/9HM+x3zsA/9rUvAtz/qcoRppISxBwEd33AT7K/CnQlWvTaA1PCukkPn6A1
GWbvgqWX3EG67v31UGXvDUKD3498/3Qk6H/k9X26svQx5nP0YBhDHPtyXPl5BoMd157lnKuthETx
FnJ2WPGU8BhpdxDRwULskq4SfgN75SXGfMOJljUeBuEMHLmr35HeItHPUEwSh5b5/lPlT0xVLQcb
JpW0U2yiiOxTnIqTz37ejB19siHe2W5I1kdLnsIsB+/U4Ly8i7oAeQCPFE6ACUrmKNtLHUFTlLb9
mpqwl6mydnRQxbo3aKd4TXkzFUsZEplbaVgmaClcnM7Ypjf2KGgZjuNgXwhKo6s8opHksYksmoQU
FIqfLjIyrhdOY3eCo7S4ntxqi+/yDIVqd57VvBWIwMS8DkfOO0CHEr5Zs5+sAT8Pr7Y0nPve64iM
65SILhPkN2dI8ujCJQg7LdQccIEskKFW76Zo6tPoIYGsf8MeOqKdietNBCVbADC/nqrG2YRVz1Sd
4THu4pZWIppfG7XwwjnQRte/h6MVjACnAoTjUdoHP/padwBBtQSS3wbmPTtFx78yc5ObsLbjm44l
DESVM4Hkzi3iPFZ4NRehjB8fLdsEyAQt+cxygMnZhisvxqRwLs1kBjduZZN7hfTHW+N/NM+SD+EU
o/CrMSK8fD2zdgCyaSDLSEDjAWrysDypHDWeDanf7wDylesFULRLk34+llgu7pvS99S6qTsc7J7t
Vg8craj6e8MHA5zp2jgBwh5UV5Fl0xmLnYw5HlLcHoNx2RRrp6sD7A5AafYwKpIaJ6c5PxS5RRgC
WicivtYWnL1xBeF+uuTrGG6BdRBvruG55jZSQ0meWB9cxVIDpDRJlXfXCmb52iUv6KCYHQLoLSts
JxHHIQp+07IJaPIgMFdR7T64E1TC7ZxOCPJw90KJH3uGg7LtoMlW8E0OYdF5EF8rtz5H9tU/I8Lh
g5Q15hO00/gt7L36lXcmuemycqlZXabszZQDgU8cFT+BpUnwDaok2lmQoXDHmmK44oTEVWYrRtkc
ZgFyDxQvz7p2ulOJgAZLNcNRhC9DipM7tpkSEMhj7WAgTbdWNds3JWoPTCXC6pG0kn1esPUO4ysx
RDLCYaLr6yEUwXPnkxzdUkj6W8dvK2IK8BJDrYjkw9ATaOIpVNNbhQb0paj67l5HAUclC3LpS5NQ
pa5qskGZwLTYlSV8bxNARiPejC4Rt3FfFw9AqcNrSbXyVKockRMkp9DYWNommyJMkShjQKUspjgr
bivZONsOsxHyQvK4UOrhjUDLQplq7/CgMr2UbW4IOrEUOlEs5Yx9ijBHEQ+gSOnCCrQxEF0nbx6G
EzLA2xv0Mw2jtMjMj3OWjWIBFrOKZECSNTo1bVxO9QQrUGR+9pBOBgJV04Qru5alV72aZltC3XDt
Yo/nkQKPjBZvYiW0vIMqE34fqZaghJqR8ZVR5DGDK89VSIpcgsQYc+rrBK/7A7cUbn0tC4YYfi23
oSPb24hp08apHYpk2y2uUV2m27nupFxx9Gye7I7dhMXMnL5pPHfPLObcUXjqBl5PTxBUgo3WCNbN
EKXUXGNNi9Lwi3Emx0z3aNRHXqkBultFkkqeV7icYYeSZWEIQ7dCXD0PF7qX+iE3UT6vZwDtHdAD
jkd7E6vfN46vAwN45TKdMYVRwqCDgYYezlJXBsCVe38aIWx24eChU4Yl+6TBkP5oohlULq4RlnSc
PQYKMosM0DXY8RmHlt9O0UHQrofabNs0+gFUx1eoyDV5BwgQTqtBRvFJl9t9cDoZCg/0pARPV1sV
CcK7JjWgRbRjuIaj1Xbb0irDXVcCd1zpDlmYYzcppF6mlEQ/2otFmQ8OI+QG4h3JB5VRZIjageOD
Jp/clZzcji8RLoTPsSUmo+1Idvd7fz4NaOesa8sPgTS07bM3GALvees9QGErTgcgqwydTRZis1v8
sfHEDpqVanosfLR0pKwk+oKYS58gbJK+7+cyQxM9ZXHTrGzX8X5UpZS3Y2ZhgIK7A0YUjhT1rfLa
90kN8TXlK70BJiRoJTnkX/jkrRP0APXWJgPosayiJfnFZ5yaemw7kcyXUWU5H2mXw7j0VHdEH41c
mlf+QnbNBSaCcKU8051WM+UXJ103v3BC1emtAnm16LBRUKORcj1zH0aTqVcEQYQvZjQxRVOyz6az
Sk45AAs5xI9kapncaD9P0BGPI/LJWvC7jWE8PS0ckDuW3/pqbBlGEn06favYn88ksBASPHIr/1Yo
JLgr0c0eQw1TzmA6Uy8xsdIIhtbdxPljLQ2zfdbK7a8czxguwjG0rkyvI1tm0sgQw2S+d3mQXsFh
hbB2QcPvxio/sWBR1oibwe5i0sN2OcPLpLnSdMw1AhiGoO87aV0nSDtuq0qogzKtLD9rhsH75tL2
eJ8z5K6Imxpc3QJqOG9cGi8DrJ44Xucwjw6RM1UU+k+TqOULu0tyLYWIR5YtMkVG4sEQKmyqvqbl
tGqQtl4ihqwWN/fsjNDLSnD9ht060DqVuxkx+/MQ0CFDBZq+NFYQXlRD9UjcAYaCFoM1istqnRRw
IHYUBs0MatTwhiMdSgmIjpnuupmAH6yL0EkZN46ECxW8E6IIp3arasMGLW75r43V28cyBtuxYoyC
iiGsOOw2hiHPlCO+NTJs7lH7Od99ZpD53jP5mG0DvO4NrGKKBCgQXv/uSyNtOLN5g9qiuPNvTFtG
4W6hsEwrnFfg7eNRpTydtqKJqDXZM2DUClpwps+ok8iA0aiOanCcR903fKIANZQUQlAh1g5Ax32b
m4yOAEqwXbLBi/c2A9PNOp1HT0lbwvM1lDNeyoTQHlrTxbCNE1KcV17sCWAMYzGdJg1wkDBpFSYF
aD8ZKhPfXNdu1j/bDTFDgIcS4zkyZCXXdjelL6O2WQUCq6DBI8jauC0RTDv7aKipTUAJ6HudMWNa
4/IgDG1CKB2s+AgwZ87SdIrOJ9u0b8wyn/1drqXOV8mco/JR8AkPvbS8H4RXMsxGBEveQb5pmzpY
272QO3dw4kc9WkswzUzFRltTYGMksgIETQtjYaQnigx5BgMojNdJRPU3kwFd76IOdgxrlWKZWkW9
X+ycBKgK2ZlE8aHcW491ZF2q1AckIV1GyjYGFsOdsEOM5T4K3DGFf+s712ltGFtdlDhyujbfekHo
sOUOOMdCF0mfBwAUQXHxytlVPPJJtN910qXbdkhsnrDKC6481bZnaYxGnp+YezezmBJk9n0Q3xqT
KM4tpXn/eCgeRkezXOU2SZAnfpdOj6Hjd3cd9imi6WZ3nDbAFjqxElOt3oFVqlcnBtu6AmQSF+vK
Dk0GhJxu3m2fYCq0wXF8h669YovtLAfiqU1PyVo0nhgf6dqDa8D0KNSk3xMDsHE9N8WtRnSAML0M
6QVCuvRg3KBgpKjs+9HaK8gZ/mbKxukUsBU6XGAbSH0mdlrk4RALXAcUI9tY2eQXBdV8scnmdDAP
bpu320jI5LbOADZVwHKIJIOhTwwRLR2THtxWY7BbV0FqEzXXKG2CP5Bk/+Qhs4txSkhG8WIZ4Dkb
FuF7OFEJslGidInaIXcYYDeoiCJI5AQA1agmNoYz8dZ6TnUv+qLYETadEYae1eZxnMd42PZdGXRY
m7v8cVIIm8h+UvFb5uEWRLwSUhWVxu+TCBP+bKSt6sFUdn6nMUj9sIje2Ws82fWBHNPyqeRkXEGe
adOX1KkidHYGSg49ZaimbaPMA5TvpmCOM1AeBmUwkaAFY8jeDDp0WBxQIMK1rqrmuiUnEm0uKgeg
76QcbqQyOOZ0TosAyAPcdaT3jKZrgv5155WtvdJG/kbfePQA2fhYXVrhhagjCvrEe1dG4lS22r2o
+oESMu7BUDEL8c3TEBfxsiy72aFP3faqA/mIQJwpNPfR5ZiH9RPFnuWYB+1HZDYZVfoDoOliMfYS
ceSU7F6Tc3QUPh5aTbe7oIF/McYZOUuy2PQcvraVTXuxc3D0VACXLRp6K23Jy44H4DIxQp8Qh74m
6soxOTdQfrTV0NGp9Ppsq/CYLgkFTA8UE6Bx0CbBlG1yUjJGuNZOX+CiaglkFVSNdL+nNuQyk5Of
VYgitwYk4hUKMYoLxH6XDB27HfjVPTgqpkbUl1GX6atStuaDWRYLTsXEjVm03SMWPBImEkveoAaA
m1Sn2DrK8dKLjRHvsqskwVpjcADK7oTUJ1aETcEITAhyTXJE666B6iY+Vuo2X1p6VXA6D6121ih1
UPqzeL/5nXfS+Gb3TrRZdhUNYC77AV10ZQz+qUfX/snCHvXDZwNde7xB0OMqvgTMELx/upMk+g1t
ZlzNkjEqqNca2PMQd/VdgTRkbzUhqkIN9urOLmLgytiWVwwB6j2mu+G+9prsOVTmrNeWOWH9V17Z
PdsZxyAKgGSwdmWIJ+ikTTPts5Ja46ZPnIhUQ1XnPwzRt2cTyYnJaohR4yEVFSbVQD1lepcPVJNZ
6gfXiGr9dCf8RjEH1QNnHLOml62g10PnE1QKm2zZM2sfEAwzFFIUV762NfMOW3anONBYdnpe2rde
OlCaR4X5YDOOBh+KAR+qi6iOYwLZ9TbhY1bFkHZNOxOePowH+dzT1nyr3cQKNw7qzWnjA447BEMw
BnuyUTvk3WVMEQ1OSL75EajehE7OsdOdvmDOMzM0NGMKUyUWaXjhEK3sRE1CMpdT7Xtl2zdObw7F
NvJNlsTQB/8fEVBDTnDdYSxLCm9yT+gjczhP83KwAA9Y5plqazDz/UD11PtxSwfXGPtXrOF+f/K/
2/r8ufP5Xydv1cVL8dZ9JYP+X9kfJYv9VwqG41v7kn9pjn58yx/NUQ9pArRHyCg+AB9P0J/8e3OU
9djnQCkA+DsfYM+/NUet3zyT0wsp8LbvoaJBQ/FHc9T/DYSYSXNUWPwszwLo8m80Ry0Ji+ZTe9RD
rO4KBFp0Yun1yS/ihUClhs4yAcEy7GlUVtRkqsJOvca9p87KlP4VHh3rKJk47Uny6g8ICzJiyYqg
xnti9I+OppJclXiVnmTNxsAHvawOSL/QWAd+RvR4Q0Nrh7nSvzTjXvqHQUqdnLVuU706s6uOHarV
9lSZkvaCqhI17CICEpCvYu1COstKiAEoqVOc45zgIPDm0Q+gGm6B5cWXyLbstNWrHrZCs5qGcSyP
mu7aPVjBlAxvDgtnLmLx49w1rYKuYcrHZtbWY+hZ/l0XG/oSVgVQgmFp8ZEpHp0OwicDM8nibpnj
quDUEtl8QXx3Oa5IDcClDVHeGU7RPiO3IFyiZdI2xdatWXKI2mVZkOTwXJBAr7JI0KLVrukRHpzF
Y3gZe/Adt248K8L8CgczZYeBXF/KofBQoEqnR64dYrxZ11UGJI4TyUhSKWUE+axpUTPSH6szSxkJ
PtVkas+qKTVdGDLI2NfSXk7Y6L4mSi+IBVhQrSTeUW3lPXaqnh1JM5aBW6Lr7DXD5VUzKFZ5tZm6
jAs4uC2fTGrOy8wIgz13xrnjKDHsp5BJLUf54ApFLIrMJEjbcdt1ZnVv2TYzF+K0EUfKqM1OiX0j
DIIZ9whsNfOu6dLJV5Y1hpcK6wrgHzXy1viRj09UpzLfKrezHhuVqEcKAwfgAoA6HxZswcjL8bzm
mBaqvHXiokGc6TeogWsqdH1wxj6eYEdGHNw+Fk73YxFVy3oKRK7au8sa230st8Oy8rKzsAgTQ0rv
mLm2vgA2EVNFsV5HSDfenI9FPJxdKiR6NCzuqDeDgzMY6bRpPpZ/2BCCr2NPaD62h0KaNnH2c4Cg
VH5sIfpjO5k+tpbpY5tRH1uOWnaf5mMj4iDXnXb+PGb0ppatiqR0ti0SO9W7/NjM2JHKkESMZZMD
CgcdxVr2vvBjGzTtMrwulr3R+tgmabnxDOqP7ZMZB1tpZLGrNrnMfqiPrZYmFgkg6DPbDR1EeiL4
oGM/W/FEF7dBkJB4zOkDKwagdoujDuVh+lDPwUXuKQQcqtUeTEQZ1EfTom2gPEmMDeymvdmZ6UOJ
v4Dskmneeokzn0VBl3NkZuNvRits1kmmPX0+kR4mrkWbVA+txlU8EK0r3EEDaUfFmJ46xGTeRjGS
xbybhpM0pGcBY2IJIcpS99xUfsIO7pem5gKQUFYmsRD1dxv65Zk14MlfM2Eo1CkSVUTKqMXgpzXT
NBAvbE+jzHaDItuFY9+Q0n8s0iz5HhpNfKOR1n/Pcg1KnsIcCajGDjpfJlkuprXgkVG7wK2BJVC1
jhz7gHnY/kFiYp8J7aCqPDcMI33oJ1wLoPzQ2+7UyFkBN2FsKewpqJltfxV2uCYWdBJ+b8RfL9VY
H8tuSSI1EUfQsyBUFo5+7SqMm67Lb7v6T7cOJlPVCmpJMdZXnTX0J6IGnPr/N/d/afgJKw2p4D+X
J569ZF388kO/vdWfZIm/f98fO7zzG24uPvqetIVvfww5/9jhLYhtwpSm47u+HXzwvv+2wwt2eDcI
oHajrAmAgf+8w9PBAsWNXNGzHEgt/84O/wVQRCc3wLfseaaQ0vIpHCglfp5CogkPmQXSVZa6OA2K
7gQdU34WFe1zjwUT640J/Vd/JDOehD7zJ7qSDxCozLOqG56ItP+m6has4bzw1Aa175v+iowFRm9S
LKRmI9kwd3KICMufeh+dhhlkT5rGdzBMp3YgkXwpWcOvIqtDp5c/3Y0/hr0/+y4/M+c+fjnfBr2E
D8/2EHJ++eVSM497InidDUapDQ4DyNLvZVtfmdJb/3tXcriTLgPdQPCXgwb189sYGRyCMSjRRxQI
8SImcKVxNvXVRtTR5teXsv80snYWiQkuZXZr/mHhIPz5liEu0oWBMmNTyuHVCxsPHFb5SHgfa1cg
DuGAFyyXJJDjcceoMyiyhKTD0DZqYsirmhQaVZ84ifeNr7ory+LccK1547rtU2ToYyW9F4uZCGsa
lLrqe0sXb81MkzCosjmb8FytYKuQVW2byJ9Ud7Dhl6z7IRu3jpnoTRxOL3KYvzVNQofPo8eU0SX7
9Xsgljv3aXiOijdAOUCBi5OSOfrn9yB0vXjArhTgVfJPYhzgohibNcL9XY1gNKie6kKioCHxJaad
swBknaH4kaNN+vUL+bjQ5xfiCWFbNtx+DIy++PJCpngcoyLCmJv3VDl03lGHGd6TH3Xoh0T+mqsM
qT6tMNwrrZrvKndi6Jd6J8j4iI0IrGtbtbcLaWN0mxPkZy9zGj0Xk9jNuXvzFy/2T9W8ROLAc0Cd
T8gAS8jnd63EUWlkULO3pjkzfMXMTW7jHeFft40hz5Gp3nWqOqSB3M+jPEka8wH0OodSB6Yh2mMi
VjeDmFdeDyBgzom6kZDo6tb5C23En+6uJznUoBSR6B043XxEEfxsT40aj5ayZxCRkd/WftrsEGVp
fGLjpV4OBCF9ySKlZ+dISMZZOz8PzXw7FbTYOWP/+k1b3pOfb/CX1+Iv7+lPr8WUtchzLw83Ie6Q
EftUFghKC1yJvnXS/eXlPtakr9djim7iKECVbn2lpnlMmkmI8YKN3VP+guzDyt23G1XAaJ+cWxHl
1s6fimozVEa8poeSXDH0OnDIevYmkAVpCmgw0gXqg6B8IqkPemuwK9LubsZ9dwRyl68VGFiAU8l1
QAW9oYRZGfZ85vedsyc1hjm+INWspYuAr5Q83UgdOcEyKGE+vMVsd5Y3BglDaLxWJB51e6a90xYL
D+5d0kBXzBntbW/PV7++EZ8Xc89ZboS0TMnoXQoP6ObnG0FbP++qnhuByns7O9EurS/G1N9kxfmv
L2T9+THxzKWRhYCOC+HE/nwll3Roxpk803bqQQzP3kpX0Kn0scTMga02pDw9pqO+dYjO7dV0Y0/W
t9AvFuVh+NyGkNzd7kfkIagxM0Yo6Nv79nwZiP36dTp//mh+fp1fDudmGIBFpveMpEXSItM75luQ
89PiKWSDXuGrxSBXDwnUk5iYuLE8b8d6gj/TPEUzeQyVno0LRCYGQPXG3qPEG87bri02JCJmZNz6
4UnUSOd0Rvf7oLRTreumvxgqDhtOrToOWcQFGFYNNDXgwtIcUJnPE+6fxrGITMe0bWAD28JrVYg+
q8exT1/CuF78f3rCF6YeLBSJm6U9/l6gkUY1HLW7UDXREQv2vMOD/fDr9+zPHyKqHdeh6mGbpgf7
5WnO+oBywy6DTeSG8CYzFsFhndgeicPW7teXEv/oWtQcCGro3yD0+rJPj6mJ8cqugs1gzfapUvMj
0Ez7WDN6fwAP6GBTJJ6gnM676D3y4F1UqA1WVsAGq/uq3cyTkNwUWuUimP7ixS3X/rzKMNZ3eWoR
5fE0fS378nQQhQsfE1lKfjrB/XaN49zc/8U78LVSWajCJl0oaKvCoyP15R1orYzhMwNxdOoMG8dF
Ge0m2SZ0Qd8m8dJUUDc6qusXsv/uUz1du50NBbjihOMQjNrMRY1eOim3aL2uUMDHZ7nRg8cIMRX/
+qX+o1cqfYdNkY/FIi78/Mj3SILz0cUy6MuKVSXBxJKSwBTT94nQx69k7O2Ifj/6MN5+feXFe/vp
TkCwRR1JkoHLrux+XWxgx/VzRWDTBnrLQ6g9lhgkruSt26V1Q0AC0+bmLy4p/tE1cQPTLArYYen5
fP5tAyyDDhoo8K5NeMJ5HiBwUo+nNf3GjZVQ2hfqNc6G+yZ2XtJEvlhooNah8b1HubqOjaq68Mfy
PcUGIioid9O7X78lzp8WYB9FJriCZREGkfHx+n/ac0ejEfCHegNrudqgxD4J3XAXYuIG9RBL8Cgz
VGY+RAxrIS3Fp2qWz13Vjrteht9aKHor8EY3dKLe0zjeFaO5iwYO0EaWXMFNxt8JN9KtklVQV6/o
Pf2tB3thQHB+qPjjGTXQKTB6clmB7i0WwV3mdm9TYd6pyfkmOmJgJgSibbZzmDtvB7vN/uIOeUvZ
+OlTgY2WY4tHkcuzA+b/8x0qE/BWvoi9DVEld1bhXqPJ3nvlYCD3G3O4eaRWdG58Xo9RvhYh/4cU
emBfebfto+6mb/UNHRo2AwP+aUIO9Wi1bPAIK338kx7Dnk1B0iuBvu1Z1PVLsjGLd6NBUGgpVpBa
Qe47eoN+/AVIYrmSkX872CQJWcm5wAub5dahJcpoSIkk0SZdM/odP+LFe6Ws5qJVyWbghQqzIGho
PBvT9CzLcS4BBXsZ+n5j2Ixj01Kf9L08J+bmpOEMgr0581aERcw7p8S8NNrNtjJMsTI1Wc09AdiT
yMZdjKPZHpH88EfQj+pX+AGXVf7kzcQ09W+//jD+aZP1bcplHk2Odou78MvKoPB5l15jU4+RVzfv
XW8/VPsGxQy50R9X+j/tAv1/ajpCx8NybQqof95EuXvLX8roazCa/Pt3/t5G8cVvNguWzaLAzwNk
wBPxRxvF+w1ajke5zRCFQ/hyHv5bGyX4jaEvMwwGyBzOyK/8extFuBB1lg4Ljnq4Gu6/NyjhJ355
YNFw26i1WKycgNwc68vHJMn8pLNTnp/O7G8kHJJ9gYQBbRJdh8Ao9Fu6OHkMGQRMhDlQe2Pe7YZY
2ns5I6wMcBOa20EuYGQiy9zrTup+J+awBOmGthEYzXjhfeDv/AjEbBhUu94P3R+tFVYcFaFk8SPr
/nvH2LI7T3Hvm6t2TOQTp+f4oa/L7rypWqoKKKUJoD9l+kdvnP1DojXKXexf6IxSShZGEpo5i3IM
psylfkXc1W6J1zn6NJmfpEVMLcGjFgJH9BXzapg80HrSx+1hzDUC7dZpD7qr0vuywES+LhvJYmvl
I2mLhuMb5bokK/oyGx3KydQRNcpZI3DPVegn5cnIDnlftubwLcCPAj/AS/pDHaThndlDFVyhOCYo
NmlkfDFlra5WyhiR0oILTy77PB8eWloTGQznBNWFOeN619OFmMRAgm6nXytMjM+kw3RED+Rdd9kT
vxtvdJkPSHuF+xCagJd72zbu4swzn4yKtOMVm9RwmJpBc27HldfaEYPyaeHTRnJcXnhu7+qM167i
kl3Fb/eVsqozM08A5HKby+9S1e6hi02UiQMkF14k+Xorkxysk8xMxaVVBGi2M2+aUKIv+a6+QWRu
BFjyhMqBxXcS7cGJyYsbOn1aIYnYktIMBwW15o0aEwjRaTQI1lYC0AoDse86UbN+ieImPQXtq8/5
QCmwc8hejRNZDM42WsC+MONYpDtEqEhjNwF4jr1nFMkDI2VCaNiFj8Ko8hvDAFZc+GNz6QV+dFJB
ZiDASduXcZCBoPORfSDAJePaqYhqMLqGWMDMfG7meT6N2SGvKrtMz6eUDyoMdu97nxH+hGyxO2T/
zd6Z7MiNbFv2Vx5qzgRp7Ac1caf3Hh69FNKECIUk9qSxNZJf/xYj82ZKIT2p7kMVUAXUJHFvpkIM
Oulmx87Ze21cbHvkTg/40wAsNtU6TPv4BokwUgG/kY/ALSFf9571nKAcOiV6Y60RvVRbh7mY6SKe
0HWYcojOVobLGIzH9K4lOhmead+VFgoqO7kvRrVvxvRGCqKqYvvoyC2HM1SVZc40c/QIFaWHznmn
A0CpC8EWJNsoeeB74F61RuHcwXdyyr3ejekxR0X+1HJ0fLBIccuCyiThAX0f/YqVHE1CCIgDRf5d
6/WeCQFZsnx8UF86OFWC9G4iauj8rAoYwO/ox1gXorKYczR1TrZxQW5n6Krkqz7kkp2YSCHUJCER
VnmBSLBHNoQEx2DG3yUsFBEJQKi0bWe6AZsR31p15gRuGrJhcq6KbuRYRyKY4O7djZ6HFFNNcbGh
6Tp8kJAhL0lCoTPpJRlfkcnwRJnDzN+ExikfeuMO4LO792b2vkW1Mzx4/ige+8JVe0eN0yc/T4qH
qRMVtG8ntT7xfidfY2egB+HZBlkGJQDsZ2oTiwxipHOglGPXvU6tGmurXghUGGlhUltVab1TUY2r
obDDeEckQ3kNy8V8GAoRIRuyxT0qPPMM2VjwS8LYxSbbG0UgnBolY9NF1q6HnnU9q9S4xTrrQPhL
ujNp58VLyivMUw1N8Q6hRHcGOWZuQmMGNmk6qGfS3LvQAiXkKG8mqM70X/STE0pj71MNnbDUp2dU
/FnLTdlo8RvNMB5wbKh24zq5tuH7617ITC1uPZxxd4hXhKR/Aor/KGflPkZ5oUO4xfT1ouZqJtcO
3ZyrS+JemXBDlfSO6SIZJVOpYnpJflEDbbrKdijQiLGFKBQf6XzEe+WXFxgx4OANzQYMTOwCGK3O
2I+eUaCL6tTa5ou7AQST7Br+sTLUXN63iEGxr0OoNBL/mhzD6ApZpveSmaR7qyjMtgZWhWPddMMp
cgqxdztb/5TNQKSHAY4ZbMhuF5O9uQSE8QxF5BAiVGdB3qcklLtteSqnCeF6Zfdq4xbFJ6MleD43
tGZPsoDzXovrreP175njyh1fffR66OLimhazlmbDZ6tKvgD/cjdOq03rBQW/prNFvodZHxPNAuPf
2+QWGMm10Cw3sENHu0UG7+4R9ZUHQvCOetTY6BKdUWc0qE1PkyxRyBIx1twyKDdNfFCa3DSWCOYy
f0ACOG7JpvAICZBPuT4BbmdaHDhN8inVBpUfhSVcMHh+nwWKGtiHzDZztMDscWcMVnoFTEluvUx2
l0aIE8e7j/0o91hI4Gu1M+6Vse3XxQQNxqvE2cA66q0q5s8zxgk/hs7gM5GoSAjHCYQmD1vkPNFa
tBc5WazzP/vKKnbgaI6obXuyD+2pnoIZGzNEGa+bilVSKbkfmvy5mHJi0nKn/2BiwYaNH0/JVTp1
w66MjZqJrqnVd3WXN7u5Zq6zamBkrN1h7E9FHEFqALmzHGZQOM69Zn4pumhINmzxIMks2cUUMxrn
C6kgVaxxXrAPJKKtRvqCaP1pATMyL8G8XbtOp5iI0mWSJfwsF+8Yc1DiJXJTXFUVyo4JrQZL1ZQ+
mK1em+vQ7+BfGaEa34Vh/Nnndf8w2xjOVHdlk9SyhZaUYncJ67sE7Puq6uzCXDc4hbmpZRiaRuI2
HRIoD1GNx8jNx2NqNr5a6flMlLnqYOH4jbqCtWB/akUWfoy4MMhsHK9L6NGqKDSCGEzZPFbugAwX
nQHANaw9TdHfyDSM3mV2IXfFrOyvpu7mT2qw5JZ8Lg5aXo5hCGVV1OxVyfR3NcgGU78sEfballXe
sAeoHSSN4cLsbz6SuWy9S2Y3g0qqkcUpvCgw6xpSWmHj45IAj+cBzPHaEwl0sYbPyva7+UXUtr73
IggGpj1jsCjwmYD/gXsekwLQZY+TAzOxsyFQ23iepdkEorUDuvqomxnX9Bz3emwFzRfTomtH+gjs
HRjctFkRmNVlUHQg9y1yT+BC3GpmjfGjUtYhk5O9T4qwegY6JRGDUlLYbdEkG+brWwYFMCtmWiFp
43m3DiLtcxTWalvIFoatMvAtTqHYSnz2wRA2a5tMnks09Cchpq8GyRVo+dimxrVNtf+559CK0AfV
PWOW4eJnlbUtsXCTfIIFRZsrXAKKXQXx3/DQhU33SLA7vcJkRAlijBd9ke65NKID1BtpQIYpeiBF
D5oMRIcMROlvTZayeG2a4wd+aDgjl5s/EVqOGTDVCcwGDnhGimK+5/NGyWg5fYm6TybuVkLz3diR
Dk0jseKjSyTdrRzYy8MeYW8MJv1a2G5OwMIc3uoGhJNCL7PzEGsZlEOZ2Td8Q/EOEhPA+dvUi1tS
OO0vsz6igOnC8tochXGxe+Ec0VzaX/w49K+c3kcsr+Lk3gRiBpnMQSOLzyv5oBlFd8WySd7JnKmg
rd0XOmw+nQHcNpGV9hcCGb0PlgUZpExLGBb4meBoT2Yqr+RUF1T+aMURaUUtcau2nFg9CKQDnVVu
aa/DZmhc56DZ7nQHBg2MdoYmqkpc3P6aXx7NEemEIqvmegSkyaQwvNFDmX1Qukd4hQsEYcrMHaLZ
bDNFjG3cxDE2RTNGwRQb1aUhcTVfyTDaSOqmTQntNOh9B7BykdnvdY4yfMxecV33LHjUj9VTXCb2
R7/Ms6MRwYO0G6KkPKOT7mqO+h6qLVbq20jk2rronX4j5Dy+MJjICKpk3ws9wZWndti2RPieR9iK
p8qtHx2iit97kHjWAnkOQvfhQ9OQX0vUOZAweTCK/HkcquGGHRVbK6CdKtBtOt6ZrgW6PsmAYxb5
FVK9JInqHzJfFkdEZhOv9TAcGNsaR3fsyeRtM0SkRRbuVQxKQJcskHWeHtz8s8JN9DnypHlIkdp6
lLCEFau8eZm0eDrl2K/a1cJL3ApVabuwUPoGZW9F2rbi40NVd63ZHqSYOGtukKiUDOMqSdZpXV/I
tBoOqYBcDtbUXXH0oZyofW3fuROhW74O6yRKpvswRCOGPid/zgx/5lZkDupnjl84jAnwho0RpKFm
IeXt6kdNm9VdNswuLdnSND7gzNM+kgrSb4Gcyj2GAT9D9kV+IPmPBYce4mtvGrqbCKWwD3rkCKwH
38+2npxQVwE4dmZOckOyli3Py4ZM+TSVo+LNUs6O8E21KgHVmwy5HLhvbgUnzOkdmImJ9xUow2ro
/PNY4soMZbceh5IYnUSsKU/1IxYvfVO4xRcmhnvckg/ekhLhGEMCSATBf5aX07713GiLW6w+DGbV
HTLu8kOtV8MzKMZm46Npf8dc3Ec/V4UvGjXTwnor+/XQ2D50z8ja+MXgXplzLs+MIYsPrhf21Eag
QSqdkrY3SUSlrzZqGyOnq0o6ic0wFYbEeK7LkiWe2Yi/E2YM209V8J+IZ/C2YZN6L7pPRgSSIDxi
ENXdjxirHAKRiFN6JymRNuh+/Eun5vyJiG/4CQDQ9o4wx2enjAv2jqzEd01uG2tZOd9GmgZt0Z7H
Ww3wbLuyFSQTdCFiE2bERsx0Ku78wm+e4UokO6dR8kmyv7HEt4R7TGRKOZlqrrxOkANbd1gn+45Y
MKRb1W1ndzTi+mqAXTFHw4NWOspdtYPVXjl25WxUP5nAdCfhfchbs965rfia4ME9WnEcYiqcEvPG
iwx9DeczecfC0S1Brn0cwOPur0Z3FscmFGILOLt46u2MyhVQ0E3J1x1zQV5dwmawL+i2AIfO7TwF
VVySHUjqW3uTIWW/prhOIZdH1bRvUsFSU7OJ3kVQ4XyYJ3YOrLTwdpkxM4WX1LArSrhiXxBtFfic
Ys4iInOa0KT20dFJK6wWATxiyOidlXrJLmxCtFv+THybKhGz2K2ajziX5LFGRPqEd2R48KlCb3uh
2E3m1HxXiDE5+sgNP0Vuz14Uqvliz7YEvSv16NzADrkq2wFoMo3QFcne9kGXw0jvu56hz1epQwfV
0oB7+CS2PBPxmdU0DwiNsDJs0sCkmE8yoyfiYBP5VQ9Fk6B4s/I47dYhnPzJzeQV+7j8gN5UviPy
B3m/tDgYMAFeTZ6oruFae4+Om7lHpi7jyugHO1CaKC7wlSmx0oVoC0YjGZ4MlxwGW0/j69Aaxa5p
DUApjA+dDzP2UooGHR6R9PKTljG5LxJAYys8Y/XGrcP0Jm2diEfrPZPAxAqWaruZptVWnziDcx/G
WiDvG4AKOSFxWKsM4W6L4YregwFobG/g+QgaLS8ezVyvj1XW9sOmnDvnk2ZxvhgxA0WBnxHZCGiq
BmNsGjJEJos+h7umvNWc8T4J0/wqsYCjQw0kj2W0MFP9H+ns/pd8v/8Lhe+mTjLAr9q69wmxasW3
sri/fuSvfq73h0+/A7X6n0i+ZTb4Zz/X8/5YVHEoH5gZesu//6ubKzyUdPwLn7cPJzCHsL+7ucL9
gwa90JF5Wcgg0cz9O6K4RXT/zfQF7Yll8lsxBkSBggjAfjN9Cc0YpTaZDXuLQu4Iyhs8epVcWeDm
2NdZ32JmTIG1JNiQnTM+JiqLjmQ3+Kta7zC5+a25AmnpvaRxawQh5codC9Z4qHCCX3H+jH8zLvp+
nvfj7/tWsKDhakq8iZ5Fkqv9ZBkL/kInL6sMA12yC6DJ1a8Qe4S/kSAw//jNR/VGgyAdq+DoY077
JGpReTPhJ/ek9rZzPVabtNeqYPZzNgiDOMpM2Ncjsu+VU/sAbF0/WrPkNpzkS1yDGst25dcY0pv4
Gud7fxCST88xx+vcDKOrEKkF2VKwXTN4APsWdpuE79fkyWOGwh0WCXAAFCm5NzwRSDYRRlKr+qaK
i2oXd0XP+IrlNWtdjkD5mGxyKYojxVB1ZRNgf9VQWH2Ie9UFhiarc8KevZmKud42stvo5cs0xDrx
4NFO61KSFvx4CCJl6I+WqsYDB0i1y80cGS+V1RYn+Eva+C39nEr0T0i39V1caul2rsg1TBGdb5rY
rnaVSB9tJ7zGFHlbp7I5tCpQufZkYRU8dbDvCZT337ez0HY20upmsnQKaUec0zm6Ar9CyzFiZOtN
uFXtPtmZijjUwXOfu2KYsfpxUhV+ejQHcFFimK5HPba3bZ11m56O2FojhO3I1oIWqA9FEIL9qsLZ
3I6Nvm+i6iEnKo6koRDLI+c4pE9Ci9h/6qNjhDAETL3eppmFlTMqSIKdxUDGtGdthJIEXo1TFjBn
Bn6cMkTHn9Fhy3T0jypqCPuKSA9fMFjTHubnreohDvCtWSVafwonv0ZsIwYOX+PDQq6+BfvcUUZj
2pNOj/uD7oceaw8G5eKGYE0f3SPPBOp/fO33HPzoQeZnP+bklqXGpvWc8OCVjr7rkjg8WCjqOWdD
EawrlKfMtzGj9xxdhtGcH7QRwnsWbbRqGNZDXBxms4HZFyc5o0Xe5tE2tS1qVUYPHjshuN3ppKJY
5zjaJTssWp8st3zoljLGFwsgmuog9h50vIatQ19a5HyWtrJgHmTD3jFp28EMJuvOZZcjrBKbe080
jI/TffAxnfE0lyDknWODxG8JFzAnbzm45YFJBw5CkeaRiJgGHPYxLrge9Nxc3RFPrJ+0COYWrVoV
ECkH0lJ27mmqZHafmoYWENS6G5V1D1lsDDJv5AQ1xajb+vTieCPSr5is2q4CX9mlOoNXTew01exs
gUXZcqCoiRGjdOGf4Ncf6sK7SzwEkPU0PnRjcrIlWYBdfBlqQ5LrOwfKHTZj+w4r9rVbG0sLtL8j
4MR7FAS5b1GocBrsyUAnuxeTyFWT0bguygewQRsx+ts6Ll6geG26Gf1I7sJQrkUbr/G0XCiV450B
pBMUym2i/CNa3OvRjY5pWIorSNfYFUKOHNsodMqlgKvaTwhKbT73Ur8f22nbilzcaa2Opi1ROt9t
GC0DhISVDmKlAK9o+s9xnvD/ua0DDDGwZrlvEZ6KkwSxk8y3BFQgusU4ukZJVe4bmZQHkQnG9SgS
g4bj7a0XwsbOB7B6izBon2sRnV3WxSCz9Mci4ezC6gfwW+dA2fiYGWcIfRSumr5TsdHuUSFy6lGl
q5+ZdegHv+6buzqkWaV6Um2TCpYHATb8wRSIBJVnTJRRo5+BKF5z5Do2wpw2tpM9TLAsjlnYsT9k
1jsMCvGmkZBSID8RjiAIRkLT1VwEwdFQ4cI46Kyc3kyDYyHNgMTRaUkOEZOtVaoRzatFSbJxyXBg
sWvtp6LUaJPMrHeptS5mL92Xirg/4TrzHpcIIVRG9dWNlnFK0u0Ac4m1NmTZvvWTD6bWWJAMwlsS
BEuwD6G2peHHpGbAP6201DgUMi0vc/M7Zez309vXDZSsR2EbsINJAHXfyMIMzYoNSktjzwn7tkoK
Z1+kkHg5H5y+qYFu/lRwfKtIN76Xtvx4pTelBerbElpOZO6HqId/GPpfjLkdVrlOaQ+a5JMjSo9e
MIhBf1l5JfHBv9OPix+3bA9TIbqfxZjgv00DYKBIHlE7w17HUsZsxBLaGh13TVeToSCcLi3A9p3d
d7Ps9lmp1ZdwWUniwddPehrWJ191DS7/6onOTXOb4SsKYLMsUinwERfbnSHzGXoSpEMe7WmUlHsx
jsQoEFoXtKV+bGrynlwZfYWliIijayvGxsUtv4e2ibrFTfm3muAnH/nPnu23t/tmMp9aOajVzDYI
iW7Du7YZzTXJMcD6PW3+jYrse8Xfnw/XcZfZOv8gJ3L579/olgxFIgwzZWOf9O7XziX3cbKtj6an
yqCx5dOv7+sH6wZPEMfoP1dblCvfXE1LiGIfq1TsSTol89o23+O+7g+pij4bSQMB08m6mz7OYzCY
Yt532oi6K5P4np2ou/JTcLY8SVpZ3S536hFuVQ+nKFyYjSMohSThEWa20oMYv34gJvJ+OedBm8qa
EWanwd9WkTbXmtp5XIqSeilPLOqUX9/n9wKc1w+Vit9wbPyWHre7vM7f3GZGO0jX2Ef2Tm3DZ3M4
wBWmyCjdHO0mGTRBYkhNB+nXV/3ZF/W7y76pqUUHy1ivYElqls1Xo7E/uxn5r7g5aXM1unYsp/ES
gg29yZcqx1XwAv8bvwKLEiYkHMIeupLv7zzXDZh/RQJ9LMFn27IlJnZ7hV0oXIedra1y6Vzbnk69
aTofWfXr34hEf/I6Q+j/5/pvvjm98ls4yJG17/L+o9km46UrQ/NY1A4vthadf327y0nhH8nbn88Z
SqTNMzYE1o43dxurRGu6CnCYbbbMXIG8rJIW1/Gvr/KT1YDP85+rvLmnFjgMgVaVtchzDFhVlbFq
EQp0BVaZf/9Ky63APrM5rf6wGDBALOfZ0fdzqNRKecb73PEP7DO/uaOfvqnfXujNOsD5A1Jf3ljs
JtL9kqjuOhWutfOBRjGH6c37LOrogJCKEV/XS6EsZCd/o5n/yZHZ0nVXLCor4fuc3b9/V0OQM7Wb
hOaejEW5n1UzPEhhGQcyVsw9w+rHShI9FA0R/Wj48OsaccraXRgqbqE9E+uVMRPQWDGpLspTFhXv
ncbMb4xEvEsbhlW/fjYLPvTNy2ZhdrORauG713nHv/91NXh3IXk0/GqYG0rwkysj1pMdCOaFdjVf
kbNCmEiv7/s2HtHZJIAxoX1vkzGjfLdLcOTQf4NmKA+UqeEmrQwEvJxpWhIyVhwivkqpooNeL1hs
0zrhDqsXSgPHs8kjY1MjelXOFbWVDGtMtV9oEBurSUFb1J3BOrdte/d6y/+71YX/ZQ/q/1VCA+rN
JYrh74phYeT+xb5dIBP/8388PBdJ/h+X58/9d82qP3/sr2aV/gcuENS4AlsSKzHtpX+JD50/hMEb
7zhLdwtHFZf6l/jQ/MPygVqT2UfgH4sAG9fflAbdtQU/ZeFOt8mm+LcoDcu7+s/CiTHGN+mk8Q+b
q7HcvPnqNbXp9c7okIMZyRsCxQEravXHwoJm2sxYMLrsaLXjzKuMmu2bT+ontdX3XyM0lwxAMCux
N9kGgGl9+e/f7s1hKwqast2mCakfEQCW5xzP1m8qAIyyb27RY21xbLqFGDnxvjpvlrhRM/RUESPF
JEWb92HnRCjQsPYveoBV1+M9R4tAxHNLahiD2eTcVYb+Uk4+1DQ5InoiOA21sz/P44WgMfRY82if
ymYeVw3DaeQvfsmu3vpXJmGgQd9MiHxDYHjTPtRlEHI+uqX8tbMrWXgJlZXzYMY47/Hf8Be6cwVU
e1TGtVUZhCz0TnsVJUWWwIjoEMZ08zaHIkiKHiOQi2vNtC70uiVHvTDnW+wg4iy8VntwYdKtEfz5
18qMsNlBRb6KMr3cJZo2PaYJYE5AUfnKABiDItTpd2LS7ZPP6Gpns9Ae5kXtvx4bDf2MAB+U7S23
FmfXrp2WPnnSq4NW25V5Yg5QYwFF7LQjvAJ2mBY6ABnjyfvoQa4z15mQ4g5yCbg+0hdY12DFtpR6
034a0vaM8EHbq4xT+W1hRsMX8Hb6h9JqW3DDtlZOa7SX/CgEBfWkogjRi+ap4r402/d9rdmbIRQL
4q07eaV18stS7kHktvuhYaSS1tpHp9d9HP3WCFodGASMuLYXpAalfXJyUnPEwlqM46WX9czDyrLT
4I3FLkdjskNawbk1rb3qXGKgPsT5WOzNIVYPEXDbnR+qiNyoft62racRAczjbo1Mfwb/Bcq4RMGw
9t1i3GWaf13QQTz7RNBvM5qczCIzWnYuXTVbxWBZtdZjBAGAbel0Qw/seuM8MbeXayLU4f2nKpRb
bJ48/qaYtzSZLM7NHiRhTfjbwcJ063R9+x5mlveeSEP9SqaSdzqyT55Rm6t2ec9R76Gfg6N9ZU6N
/zA4+Bbiou8Capd2Y5KfFdCFoaqPanYqnmD74ApyR1b4ebN7fKiMSIbFQ1utJ18jjTuraqMngTJR
H1OvN42tdDwB/qzXyzrI2gHDVowCGXPDPINKNZWAuEF/Yr54pWt+KqHp3wGYQGLlpl2+QxoMTMQM
3S8z9Px7V7X+Y9e1ghIx7rWPaSLGMzxm68HMcPYFYzXW7sWKM5/UambsDXoNO1RbQ9OIEfBtPAtK
T2Dkj1kdVYcONfInOY0JQKlU0PhsjMb46Hktk2/XntZLtA81w+ykn9qxyW/IEMhIvujzhzYR9r6s
6kOLhGDP8Ovr3GlyhRhBbbPSNL9GgIM/J2Ob7qfITq7qrI8Pc0MVb4QS5XBUm8PF8WOIFnYi+VKP
RvfoKOG/pKEZHjTG14FmIzwoW6ViTJaFvc/0Oq0D5u3t1Ww0xO+aZfMeZ1G9yXtlXPRqtp9DhD7b
XlXJVxzymCsZNNyV2uDdV8o3nguIcjdGP/e7MKYwmEavfQxThML5AAua1OviKU7t+h0YKvMR94h1
iFsUalJOwJqJwCETp+8ztZNtm5eLwhVGNu5no3nJE1FGp9hs0BUUqB6tR1GhI9vY/ORTM4e7MJ3i
r2FoOu7egioxbwxa1PNeKG22Vl2SYvEktMsj5h3GhT0XXpD2kFzWkQ6zhPCViURUQ/OxPSPLeuZN
Gycm+PHEguT6iR5oCavxhA4GC1FWhenWlQrvCHSYYtO7teufOzkVx9mcjHZbWxmODw/3yiGsPeOj
rdn+DdjC4VDrbvi+NWHrBItcTwswkSTaJgwHvjYDjLfnGDgqrbDOV6doshWg2LJzD0AfsXfVdLBu
Ddi06CFNmkphBFS5TEd56Zq4Fce48PzNoE0fAJuWtCAjPhjy0si9pcf2hTiS4dBStm2UK4Bu6n1P
twbnTFcHDnXgEy8/qMFiBr2C2DbzTcLHOyyx/ZJLi38ZJB4KhRqETw8oAU+pksaHUQ5w+bo4Mwi9
0Uvg033dfUAA0SJgzqT1HmqM/lQnhDTqjIBfkr4Ta9OasW91c7PVye+4VqPjf26BMF30evTTnQnp
BvGPM4fzOp/DajdFIxhh/lhyqrt6rtaRdM0HCOwELyiLL/2qsrp6zySBX6DI5ow8tXgmnhQ1F0zj
KEupZLM2k5I102K9wOhJYHeVTWiUQ1wOpHoDgRoRRi488cKpoJkwvW3BLwEcZ+sJkeKQjoJodBzk
Y7bAybMGTDmPDH7mgi63mMuc6wVnnkQwC1f6AjlHhgOCNI9NjRzzqihv6hB5pW3xdZALJN1YcOlo
UwnJ8QvXvEaA41wMiwNzhIv3DLJPsZrO8amguwqOukfo7HpwBNcM/4js9RdcuwbVwcHGtCCerEHp
yxddo0joGrGJiPP+nGIuJ1tpStByVZnffm0m3bueXznx6MI1lJIR9Za/gOQLa7ACT6+6Wy2rdmbn
jDfYPf07FFvRO2Mh0pP3565JA4OHKGO6wmhHbQLdodi3cRRfo0LkaysWyn2+8O6HhXwfv0LwBRRg
5vGxo8/wj5a8WMtGmTHHgBnKTd4MbMh93e6IxgOw74r4YViY+wMUUqaWCMQv4pXJn+TmxRoNQP3K
1ZCHd52OUq5D0hZOZChB9h9Q/vcL6x8IFHN44pSSJQeAMvkF3BFyACICsiUroFhSA6xUcj1+0NkO
YeEeO7Imd3PmIMhB+ra1pInuhDhp70bFQDdXTmuY0DqR2tKRd2R1qpYEA3Y5hZKXl4o6iELoa7Gk
HUyvwQfekoHgiJQ4BEjoRCMovBTEJMQFtgpBD51uQd98oZ0N3M7yku4FzQ/IOxJqwd8NjYRGOMDE
Q/sziBWxSQsq7xWblw+kGK58GL3qUCaO5K+OaH2Cfl2gUtZUn9qpmxH+vFKn3GghUMkFRtUtWCpV
65BaX1lVS6nirLpXhhXHTivZpDVoK2wx7q3VhOqdQeADYpIhyY6RZ0rw4ILqa9MsmKyaIdq4MdRC
zyom37+p0QVfMr0Z9s2C2UoX4BbuhBSoEBAu8lHhcY2vbK6MWDR5CMfEgq5b4CfikAkWaL1g4peI
+az54r9yvoZX5hfQluke2vlCAmtHYa3LV0KYPlbNudf8uEW7V1XneIGJda9csShdGGM8F3hjcIpg
jxmOxSKWMGJsz80rn6x8ZZU1kQa3DEzrMG9I+ZnC60gfvTJIXzln8pV5lr7yzzIKYntrT2DRhldC
GnG7kb5JByGGo+/UCLRBW1J0VLl/7AeX2Wpc6CMVMB3AFcFPgMRCpC5Ua3Da0NqTELmw2/hSp8PR
sBrzVCxst5lFJ2NJh/g2yXAoT6CeAMFBKqkZLIzgJwIv8cmx1SXEJRTi2rOHa30MkMqQnwWmp8mA
xZYA5wQnh2EL3hoQHc8EKF0M9+w9vqP0HdbLITnPrwA7u+Pon1dNv42bWvuiG2nIvGUB3unsKodp
VCzF1ULEM5UFmCtZOHk8bXkF3jglmRvq1oF0EI4gbS5OsA4aCp2wO0NXAL1nv2L4uHVsWejv1qNj
jRc52HkcuDHQZxBo8PsD6df2Q6eLWv4OifGm4/TnsU/HWAda2faWsMXvj31EGnZ9nlgdRgo9P1Rd
9KlMyntGfU+mX9wLu2RjdZkKUGR+bNNhvv31qfMH6Mpy7FyyZExD59xpv6XtTO08CDVb/WaIOk5r
Q0/unauZ5Kxa8Qz0JRtkIRh9l/Hnko1DBEKBDl4ZQ66ejHGyD5NW9mdHFt1dRnjI1XIzawdlyUVT
cnoSghI+yRxkQj07VncD3gkf0v/vx/yvQLVMqtpf9mPef2m7/1h9wRKaf9eQ+fPn/mzI+PofiJ49
Wg4uhstvGzIevk7gWA7NGOO1JUNL4l/6ocUoymTGp/kCO4vT898NGWH8YdMQRF2kuwwCXYYM/wY2
8/u+OYk8tBV9AX4KCREG9tc47m+6Iq6FJSH3HG/XxH22reH8robISQKsid6qK6fDr78OP+ByuJ4F
EoxeEp8I4qU308tUjCE9Jt/dGVkb7SKRpV8s06pvB6MkgG4aVFCE0C3ZN/2Foj0Nnr9KY7t/N4Mw
Xiv0dY/ZEHpD8Jvf623XZvm9gIp5FloqOmcuDbBvu0PLnBj0EepKJfKPXcnvwYTMW+Gg2IvOOvrE
ue2q3IT4keQQGqcrG1vq8de/xNKB+rY5tvwOEMCErnOcokX25nfIPFj6Y9p7O5mM9S7M2vDoGUn1
8Our/OSJW9wqswsT2RL9vu/v1OVDJpcg9XZmhWYjU+9BTSR7leSIpRWinl9f7Sf3ZJs6dwOvQjBm
fDMpaURj6JBv/J1fus529JZJfC/Fb66yLOJvPjkosq+IEKA7tAC+vycoiUat7NDd2fGC4SC+aFXm
/d1QJC+/vp2ffHhQNxYKCffD0PTNhYDt84kur2+YIBYFIw7VHgtPZpY3Zppd/hsXc2Cf+FTGuq2/
udjYAz13W8vdVaalr3N2NwbbAqnSDBdpTJ39ry8nlmfx9lMkQ5gePysC7cs3zyqBxjU3bgR+m0RF
2JKVf1ZuqN/l1PDYMOIskFikt3DSxX6u0moLMSH85ORmidRjrO/SzGvIlC+GgP5JaNBeqyUYVy9n
CjHPN52QhQy8uPTrA+fcZG0WhdetGjlTuVeUOGvZzUbQ2ymlvp46tw0Bq7/Zjl9nO2/vkSkhmjxQ
hj++j4oMHmVPibuLylgcUkIrD9Ng62t3sB81SBmYqdpD2URfXTOWGwtdzAPGOu83H/XP3lefldvy
DYoyc0EmfrvaNCknIDx0/i7Pe+swWsmlhMq4WpCuv5kN/3gluvrsH8IzPQQqb58pUBh6Lqnv7dww
KdbjEhKFR/9ji7Bj8+vXB1/oj9+OpanPjMGkdwtD8s3SUheGqbmidXeWP4hNNmjJomMfb7BwjXeO
xosg6u4hwtSJ3LJDdNd5er1G6iQpbyusz34r6dK5VIqrtrede7x89rM91N5e4RrN12bdT/doFa1z
1w3VKUOQtyubGJuhNMjr3eb0Non0NTDVFW5/wJrg7WVsOVu/KaedVrd10DS12Jg29EH+oE6OiE0S
V7hTnajXUWGEVz1Nq2soWmO6BhbobKJhFMHgesl1qBfp81SnBRBdX2303J/3k89wuxpq95D9J3tn
shw7kl7pd9EebRgc00KbQMycZ/JuYLzkJQDH4HDHjKfXFyWTrJRSK633vahNlmWSjAB8OP8539F9
+F54q7jjPl4c1w7yh5XC4/GpoD4z2EtvHMi7cdl7uypt61PuF0zKayCMTEXbZ+Ga9t0dmvYzymy6
OXJ6wdBIdZo06pLgbcZlDyatOhZ2L58su9V3UIVRFGfEKbJP82o28+Tp95Yq7hsz5ulrHq/FYax1
9EUGeKbdyPY+Sku+NRXkJiYvKriSvYH/b5D663yraT31hFUfm9HxWlaAzH0kJwa03aP/5coWXne3
cl+jOEQHh06b8sCfQ23OyDUZ6bDYIjgNFTpIQRSJVWq5jgeyldwahnoA55AOYTJwYzlU6Et/ODLx
mUxec53nTbtR1eDc6j5lauB7WGq1Et2b0zXjBYCLVlmTcAo2SBHxK8c2gF0+iZqXqKoFnZ32mEwa
Si69YoJSngCSl7a5XxTEllJgKGz9F4A1oTJZCTVsyzEqjm4Wm30T8X273cjHN1odoicBEjr3yEls
7JGyBAGe+wMQ2HKFq1t8QOa2x01EqcfdmGkbhwrjWfSCwQbzzOJBB7QRiwGXXU/x69T5ffWKxRO8
g23LL+0TI9iEqc8THzOdeKoEByG6r6Z2l3PEOdedSSq6JH/WzFuYUNCgkW3t3kvlIXJbjF4SF+e1
S+sdqLM+ULD5J7DRAeJGns7BwV054GxYD+rfIDnHmFE69WnxJTpk0Jzw6JXDcSTPeEMUkupgKbL4
oJS1msQuazDkTXpbDjPtGJ5Ci5gbh983nwzBGPrUgiKp3SCHwWcVkIonQ4GPo8957JurrG/qJ6+h
lr0slv3chvmza8czjbFtv+/43Y6TpbJ9rPv4GPl2zfc70/sYzDwf1cpciDHREOxDlTmvoxeFV96i
/yjH17tioNnC0IL1K04hhHFA9fTJcuAfUyrkMv8ZLzjL1Z8OFjrZFoMNnz75o5toaOIEbTc/5Y2J
+FtpccIbUn/aJpO3krY1kvUm/S691U/pZpjgZkhmaBVf8VMaevaRsvNqN+GnPlgzuzBHUfM1+nX/
4MbdcownqyZGMkQ7TfRmj8gFLYFxyTxyQJxXR1ylgGJ3c0hUxwySdFp7Rr+PrjoVaSTCdSJm0GW4
YmX6ki2juNKGjkiLCNKVMX38WUSB9wI+u99VWeZRepKagVO5SY+u7Sv8yH2xAwXGqxBZ2bkgS7cN
Wg7HEAvyq6wd36PIdOdI2VC9fYqWMIEOR5OuzU1f+Zf6LTGtW0VcFD4D9eeMiSqZiEHiHUZc3hDk
vSUIle9GGa5PIBa6m3aFNT3TM7yxLReOXuoUGIfL+b6DtUeQD+JES+vuZijX+CXQAk6Sod+2oWHv
Jovl+wDj7aA6AOO0E1ExE9ynVf1o28RE67wOTvhDS0jvcputNPJVQ2TtlRdMfxg99EzV2rJeedcs
532OtXcjqu4GKDDCbUvV8DzZS+KKxbmuek9kIETyam+qsNz6lZr2Cr8Xsn/PhcIJGIIaMz6mHQH8
vREhzMF+pRapsX7mgKnDFPrPHJLWw6BRYHzFqxw49sHB+7WbJuXciKZ/aAtz7cmG8Ro+fOrwXOhf
afPpKEW5IH/5BbbFfIiOUwG3Bql0S2c6zb7QvnAxTt6tnob0sbHTegcvZ7nCkX4j1NhsY/x+G9pG
5/00DfoX3ShREtKCngTLeh/4ZBYkES7Q9/MUvDdhjhhXZcuenFLpobVmKY0DNNVzrFqa9oVz2fzg
NoV3ZLSbHkwxIYqx2NwWNXkLR1vxU87f+0EifcTiO1eGT4PqwZnlXEsk3GpQ4TbUKrUZwRiasgPF
J7JhgBDeV34D34TCaPM25qb7DXEd15tGcRpOmWQotA8a+I19t/7QV8+sqiBNOIXDZ71W6sR/jkx4
NHd7KeClOH6syfhXj6z9W5vF55aXUB9WyaTT9eLyg6SIPrsZaTwGTyvS2sQcsMryfVEA26E1l9d4
MlfMiOikqcTriFdlm8UWoauppTrL1feBRXKxW1NZJiWxNVTCYOLJpZc7WUOhnyBsPYVFp4+qxX/E
2MI+EiGT53kBOVrrgeY3plys8kPDFBDN5zBq1z1kqoLlQWJyl6KRbqi+qYAq1+49xTDFtrHz5kNF
ottp4QPNWCQTfVaLuYvVDxsS8mszVUcsWOMLCUOnSYrZn/6YavXFRlHCs2XmjGi9xjZnRn/ZWxaQ
tahS9YlarR/luuo8T6nz5DkxMRB7uS/MWJ6X1Ue9iz06rRzHGl8xL2c//lqaXc53c6ejxT4xcU/3
VhObx9WvYELV6bfBr33rNIBTq4IkdRDJSxeaHMrjPNrzYZJQdYZUg7ev7Qe9ighze+7ukbPm/Zr6
AgOXyJqz9HkSotm194439JvZletezQWQYWYTFYy0AZDkXBIrGNAJv8CRVFf44Mt+3/R8InEgq0Pa
gIkWuQJYkAdXpRjeFzMrCKXz7Vyp7hvswcAcxqMm16Fvnrvh7YBrfhenXffpdYF/qG09nmp/OZTK
em3SpSwvRWfZTgNLO6u0lrscMh2dCUH9gkWjv43xMR9sNsHj3BKVYpryItocRkweuVsdj+ZbN9PK
zn2hg7oFbYpqyKZt67I2lyrIbkMaeh4ozmySzm4ph4BaWG4Ao6gtQsZ4P+fmrb2MopQ1XOcuKNF6
mXZQN8YtmISW+etM19MMNH9U64Go70jYYiTr2YY37kpeiob24oGDvW82mUy3dEEhmzZe5AIBbF47
aRX7NqTGtsRWEhRHxrn9iYQtsyTGhkdPhdkuomOAvW/GL1n466Gyms0Qh/tO+eF+CUi6btrWis6x
mrHD0/F4pNxrnK16qwlsI1H624bC1QNH+XIXZQxLg1ymB2zXBHv4+RtT+1+99tP3sA4oTYMGYk9L
QC0u3t5Wvyw9dSQdVPXeGl4j6V6q0MlEj+Yj7i326Nz6igr16nrlDVOOJ0gfAkeac0eR15+s/GOm
aDzogkE74/dnhhj5hqL1c+uH14Xv3FguExDKHjoK761rwxN0DaK3PKSTF32pOZT7zK2ZBWcJdX3j
wQt0/bZ630hx1T5ytZM4k6yTiqwEw9DF4gvsimfaXCCHd82LWaPXQEv+pz/LNv01K/86d6oP4fr9
VceEJxkqI/dNnb/kbkwVU/1MqOCjcfWpJZ1AzLS59YKS390d1SZoR7o0xwUwmKSwxrUIytAwRhuZ
dk9NM4GTDqpHyVt1qmROOaF9CqZla0XaB2frECQDnKtlnh6BaI53AMt8CmrD7g+IsRjRzD9BloCW
X/iXade0Huop/V2CP0gCrvvPvRbMVLnk88pCCvrKV6fd1zDws7T299RFQ1wt8Rm66ZRfjlKB3gmP
gWBeQbvs5kZu4cybDbaYG1dgte6ambNKm1JTWE+CvAVXhG4iBzP4FmcY/mDpUok3u0NKsZtotqvi
++beqqhqC59we98JbyqSwDW/RnwoXc85vwk4fdalO2z8lDW/zTjQe/Fjvno3nkzfoMnf1kEK2Xfm
e4efY29kWJlTnq8tm37zYvd4lczokY6R7bt0RlD3OD9B0/wOLfEWVHafrIY9e2k7vjQAwq3rDdAw
xvp1RgzFGe9XBEIy5yiINe9anAKwETr5WYwDxCGRA79GEDmHjU2lWgjuXtewSrLQ/GrIIx9EEPCX
YgvDzTDe+Y5emA95areSi/oJcSncFWrmdBd41X6hTXhvxYTIFkw2DXeWveT+c56alMMRTAHfNfem
54Lht5F+z8meA9BJhwMSy5MeMrVPW534Y3YbcTy867Q17GbWjp2IU+iVsYvVS87cmzFa6NvVZfRu
cIru7YDLcXTxgJRy3Q2YUfcu3vFdhjkhCadgfnbJy2/CBnDeZOibw5Oivmb+qHNowmobzHylrjO0
Rze3hgP7rX3banKImSobfNhHKlUkpiXl3tiLrqiYG+RNSXz2lRqC4DWa/T/0CjL+cBuamCvPfqvG
qj82jrSe2nY0v4HXZPe9iYIbcvjMQ0HfHXCxjgcSdzmR/LiDTdIB/UbGYbiUQ63TBO42E6d5ICtO
F77Q100JaNZ7exvWCPQjND6wP11NnX3eDqeuxuNLRe3HojkqZiheX2mW07utHXBPhqNQzxX5EEvf
Q6uWnJWkPeD1b3ycHUFwbk2/fAwE+7kwBbuK13dvd1TFXmxqu0n6E+mqbL4vbJpcV1ES0KUaYNt0
wUOOEJWMNd84wZP46I6+s5/RUsqNnAaMXB2J3tmYEzURuyae5n3Mi85dqjZX5BrGnSxII5H3q29i
AoocYyHe+6Uzbcc1zU/tOprDMLvBoa56nCf0u+8GEEiH1XfHY1pO0TmNiPFB1Ndbr+A0zwXsaepc
71fZSCcJ5v6b5l0GUmX2qwnX6kbPOcPEYv3mOm4eY0ZWJGqMBQGY/uW9U5rxyrK7F9f13/ix3bkx
2MmDgbbunONwJxb8kJipXty5Kzq+KJPfuraFNtQYmGf1YKMF1ZaD6lgE9CI3PD5KtXs/VykhfOmK
tyED+cEj2L6Nkm06LS9kkmYYaUQCTpYsMmge0Cqal9aaYgKOeftJjaz3WDCKv3e19nY5hQjLJlgL
c1+68W+mbvEjetzF8ewx1xatSiYKVJM+DqlQbIeQQG5jrvFplbsgnssT8B4kUZ0GO22p+mBZeZO0
XdRA+3OK85IvOFp9o8JN5KgJOtn6C5uMfcywar7nIIA3lZQGhSP4HZKN4XAQLwkDgmzX1V57CRIr
poNLcU0/Hn3JsSdPPH4PUEdbsm9Npo9z5uXX2dhQA65UceWO+FkhB6OoXlUgXUKqd73xYQHo9D3K
Sbtnay2XwziFXpR4wRq+k0q1wWdN4ezvzJAXP4qHLEy8dpHtdZ71CwiyGIhEZVsm3UU08gmqvwx8
qcAfqJGcuOmt/fpMSkwcgKKzOy6l2DI1eZLBwJoZm/KrTsEXyMiZtxEFFOSTgy4pu9Z/SUvc8z3Y
qdoxZ+rqCVaX7B28q9V605g63slLAG4jwrUbNnmjsXaGlXrlB5mXumrUe3lZOx1V36qmL/eyacNr
P4+dPVhSuE34dJqPVrXeGSCXC4c/VMtWKJ3S1ZSOLxO1Zk9lOurnosS9apOvJriHOcNuqEZaLInK
3lVtdXTaGBhKHxYDoB/49Zt+cVgTa+zNOE6qqN7QmDUmWThZO0LfWmxEbsmElo10r0ETl7AewZeX
kE6GTTgMWPsC3VV7oD7tZ0B3l3/5TsrnkPXndqij4Q9oUIv+US6Th4GPOrpm/87LfeGax5SuTtsp
H2FS14d4zAFToV+CgLMz0JnDvcgcn54Bfh9q1oPNOlq3CO4kGSAIdWPKwsscYW/5Ew0sZQvkBOzE
hbCYDIFIYsuiHHYufShhgPNufMBIm1J3r6EuZL7NSwLFXU17NWFg9xiPkZsYQ+5lgkTErKwfHrlS
prz/tTzQrhnsZt3yW2E0ogmX041PAZeFg/VCKvteOxdY3jyuG7VOZDvzo5766YBSS6AwSm06osh3
UkZEzHWwyHwW4FubvqkSikH12YuKx6AHvU76+ZwKm1QwTwshfFThHarOcBN20v09K6Ie21rWtcMZ
fAkPPchWHym07a9EaIZDCE+eelpDc20gcScPi9u+IX+0D03U9Y/ZFPXvGO3lHZ8892Kku70zmvCO
s9wE7ieLQIgqmEuj+6fPgazFqzPf+StuvI0dV+lvNFhO+OjldGR5GTguwZpn078QhuEefqSFZSPT
rUxKFff9D+4gZ97ZTrraAOZmxo6139Af3Hlt/MJeOkDg8SrULH8ZuAbjTjQ0O8QL3RumthmpRj10
GRXWNz2J8pcyGFPckZG+7jKKOFP7MnFJabFeAIjOVUEZDFl0Vv6pe/SnVhzq1rHvkEVC/tMd2Jms
Q9Hzw3BGROcsG8PH1G51B4FsV+d465j0gLkzuK1aMd6lVbXFZdzB55Q7bkBpghn5Z1jNS9PP8Qsh
eNq5u2wB9ZQ1Xb0NnZUU7vy2dnh0RV+6+3wsttbF/R+1xJTVUhTnTKEJMdA5ZVVhvXYTPU0xDsOL
7F4mRb4WuGvmbV3nYt8rbl068+UR2D+XWeAzCC+0Rp04wYKELAyeo73dsyuSCqUlA2kHWmViop7C
7m4i9R5Z+UBw2LatW4WJXO1ti5pI8ur0Unuh59OyQfEM5i61I6PfPgUjLFQYNoEDMKvumFIjeATp
ZoVefN9RV+WwgHnBs521+mjKjEuk4bYCNJ9mxLMFPxpwqr3M+zLqiMVnyJr2FAbv/F3rHoIiNbd6
wJborWPvXW4s1X1qZ7j4AYN634urOfRaLfVCbdw4BLMj3b7Ab2axLOFpyk3ppd6PCMpLqzqdOgfJ
DIHtDb3kzZ/L8L1f8vCaiZS6qbAIPDL4DE+Bi2XX9rOs3Qb+P3qxLYEpjja7+INQkOIgY9XNyWaH
I+FIlRJyWoBoN/jwGDdyVNizLUc4lAsK7wVEnA2vWLY/ZUgZ86aPu/qu0bbLiEFLWJM6FuW3tnwb
Y9gyw0uAhFsAWM3I6lod+44KfsFuDu/8Vla/K0K7KKZZdjfMSrwDg6RCtxuy+lP68Xpu8TSOm2aK
kSEqiwtTMtcGhlSr/KdYwcy7VFU6nx0958cJlGi96aI8uC9tAvVJpLvsHhMx2m5u7V1YVa92F/c/
qqHimiFS+lZntfqwePd3VscnL/k4y1PASfK4NMX6li4qf4ebd+FFESf+cI0VfKICi180AXbJ2OKC
Tb0i42HjCL96Y7hreETOrSVoksA0tcPnN//AxJ0SC90maUjv4oCPqLlfgJm9Wn6dn7zZXm7MNMUf
0nHLxA4pfreXqDgHyMxQiKweM78y6eeKyMILoCr9ETV9el45a3OoXqFslhwAoa3WXU7jgP/M5tX8
GZtB3QdArQ8MGyzv4svPdhzzJNZV61eB3EP4DBsF2o2d0q+UVYcRu+0tPg6QuCz7eueptr5nXIZj
eM7Qu/yi4lDSuHX7tHQTIKtyqSiXx+xcJcLt5A3st+okpiU6zWnenwuh2m9c2QwGldN7OpFOWEGK
igp88vFk29u+rNUNC0YE1qbgm3MB1qoD12QY5qOruUWr2pdY9iHScc4m7/TlSDM9IFhP9xRj6Cd/
DNUfXw/VTQMB8bwOafATCz+C29K215kILRrenNH78Yde/SndchIba1TDR4P15F0a04VE7EITYMfT
eAiXSdB2vTRecORRjbeUVIvnztfAJSOAEhR6pZ39SGRUvGZhXX83mXl1qIjEj8+JZFxgbW3CKnNm
FHddko+els+6i3NyGWinA+cp/Hgh0vt67CgvO/sUTtZ7rgF8yEM7csCwgna1zzLXoiYC7djMG+a0
uF3mnvo6n6kra0TWRHsvy/urXLJ/YWj1+/20ah6duhnrKnEjNhsogAyi28iyb0YtoFPySLi39hAi
2IU9oFI/CLPPwbQpCUnTvQtnaeUWn3h+GmujHnO+qGgvok68dAwIl51d65CCIXzbG8CpyxeFexPi
StWG8tiG9SWY5HbLsudplh2Vb+yZm950c5CEcRP8GlSM67vlyH+Vpd4EDvGys8XBdMjWC6zaapz4
nIXLb0PTxobJ8TRvuFrznnBG4i9gmOC4QQKyDiMmyhpznPAjq9bq22RTimTZ42YOFqwijnNN+glH
nomECQ6eCAQmRRRsd1P4hoGHx//x7GDRHTYt3KJm12YXhvbghKrfibxAOusc+ZVS6X4KReG7SZX1
xEhC2y52dZXqL7OEkK1nAe9+ZHSzXJWlVV34r8H7iv18wxCDy1tt0vrSxVR637LC5rwYqlxpZV2c
wzLWzcErxyCpZL/sA9LBDPOi5kTvFYOykGHaPcWmlKkaMbCb0D72tcrW4YjnWuZNhnm9nUZOE/CE
f7zRia98S8Rnidvqflo9GID82d15MZ25WZbB2jKr5Y6/ELAh2A4MbXQO3G3IgnJrpr43Gj2yUZUs
7vPIv6uY+x7cTGfPeV17eFDhxx4lztZxz9w+31N2/+kre3m0YHB/WXBI6M+wrxfXUd8gAeSLF+YV
GeRJxYi/Qr/H7ObXVqac24rA7WNGxOJvjBgXo8V/tYPE9iWUyMYN3kv81R2al3aI51tHlzs9w1Nu
zPdhQPa46tuCfZuj6t3oWPKFeiq20v/dMCH+J7sEFhSmoIS7MN78xd8DKokugniODguQg7uYymlS
ZR1TBJuxvTeRV0m5kzEYt+X4Pa1sKWYY6n07ls5m4Jst285PoqhG7CRHmFQNA6ZmDrz9xDGeebPr
3MOm9ZBlavyxCKg+WJNAqPMk5HoDaPu2c4EATz7aoIdTi7K1qST7NXECZq8nL6SG0j3Uc2ltCtxB
2yBlLRvMQF/t5D/PA5cDf1qce10EX7KhCskKx/6oLRZ8enmh53EZwyo1R97ffHTuhWjwl+8tRrOF
iE1mlmHwX5wmNY8SH5/gtI6HknuDfS8ExbN4YBf421iWpgVvhhczd3eWC42/G5Z9XJGw5GHSGJi2
KbmNMKnzkVTMUAc7GXvjyVaAetRsUcgwcN+tSg7AngQLI0lv/O/f/sVI+t/+BJ+BFsFUBz9DdHHO
/ZPzsmAvacfYxAfbtPIfJJ+VLnL6xa5Wq3/ExB5sRzZnACBdfnZse/jDxGs4Gfvi1kNw8x3Av24H
BAg+YvE378V/t+1dikjoM3JdihL8v5oEMzS8wAlAfgKbZA2dvSy+ttPG/M2P+UsU/2I/vdSa4Hjk
FWBp/0cv2T99CC0DY9GlbXxg/LmUbN8hWc3JDNt5roLfLhd41siSag4nbbbpMAaPBYfQeYswXl7h
2YnvqiUqsc3wsrR+U9/13mADX0xXyE+F/dz2Zff6N1/cXz8b1mvb8f1LVFpQfuH9xaapK70iSPDs
jZ3LorC6jQ8iCnFQpiVYda4hr3F5p+xCfVQr6hnzHzvJR9gmi1gCMqDF8u3LeP53JsX/D80/Ly3R
98/vumi2Rdeb4qv/Z7M1kGiX1///Hpq/+cw/zWeX9+bzf/j3/jM1j3WNSx2xzUuAO8IfjPei/9d/
Cd3/wxCX98vB74n30+Zn/YdJm1Jkl38QRZSqxjzM/EsdlLH8X/+Fyh44PnT2wIRigWKU8v9i0iYn
cHmo/suCh1tRhA7rXRTY+H/+suC5wxLNvWvNu6Vv0WyDAo76PHYM19Zc/GSUBQ5JX7PTbef4YmWK
slGz9mW2cxVbxKZ2UShxQDWdr97p5ozj23EgDMkG3LlfnsbbsC1WCLqzsOuNCZHiNxV5GroJLFm1
D74pijfoMkX2ZC9gBB/Iq1UdfWdFTxZbNFgNTBMA5uNiZMxW5i1Y8J47YbkJaJqkvqx2aUWNXXiz
EL5h+ZI1b7L7ps+cH0cqsZMzps2EZGt80qW2Hl2ufsxyy3Wst04OhI55jaPLu8m007WNWAthu8Ii
7jRmOhMJ8yO4RWpMb9N6CYtNE9FF/hiV7juZDk5Ok2UzBNchVF1U3YC6niInXbfOMGyvxeiBeUPu
yUkGlnNmtmqEI4+QIPNnioBIimHHyQEauiZccaHLQt6BZ2E6UswuNhcaPyzbo5tw7aKxOlpRNpVn
CiwZTMLG5vBOSzJWi6WLK/L82Dwe3J4wYMJgdNhYpJsoNuVSBKDTxbbQqWvHRPnDTKT9o3OsL9/0
3BCwll2Ma3HtIz9PABvVEEDsE1Xxxn8t4BaXmfuUQQK2iqqdUIGaasV+YWfisVxIc900VMDBrMNz
Gm9mq/Nwui6rhcmEtCwGPjij643oQ2NxonbagJPpKqyj8WP5BoGeQcTA7G28SQ0AbUD5Reduo8n1
75t5dqakiNKuuY5sqipRDysuhGqkm8TvY+6uHbnA+GSLkpAy/k/8BFibIOBS23RBbkXUrDmeYriW
wervtz3SxYLmlRfpnon9WKE1qG7Z5bQQO7s8bAN3I7J2fu7y3KIMavbE7zZI9UudK6goiCjfqkud
+cxTR/4On/JidqPp+5l9E+tKbmzsKVXXZ5vLao75zYpQAqwoDc40S3m/29jBAJA7Q0TEfM46hqyM
zpZkATZ59qa+heHXmvKa5Sp/MEV4H0JE48ozgOXtU22dssEBZjVNoY2eXbdvEYOUR2vIu18rFMCr
2C+PI2WjyKv8aPfpgoZGkqKIyX1mahUGmIFJvyeD3S5PReOt39ij1husymZK8OPkzp0ZshD3pyrd
aec2azseVztjACRj0x9noUq95eBYf/TWqu9iGdqYX+MWIHzKMFwlFr7kZ73kVKLaHBDhRlmR1+9Q
qf1r0Te5DysTo/RGgk9yrgaPNQHlrhY3Bq+t2JKNXLguyLr41cfKnXfAt3nanQxSmdPC0N4qnZNQ
jez01VqrlAz8SOXWrJrvqrWw/Jm8AHMo5jdE7DphmhoRCtGm/liqjPeGtt7+DmuuSYSo1VVjV+Mz
Eqak/GYhqlBU8YxWILx7E19Q5YLxyHEY1eXa75Cfkuix9ZFmI/ECfrkjFjllv/zSzePd2tPM+1DO
RThhlMxHOrgXCiEGN8t/z63FcFbi9Bg3q+0gB7LdPxeB7cFS5FK3EYwdwHcGE6XKaRhU362fm7Nn
yAUkHHTX1wH4/5cmCQw1ofLm7IA5EqWiLkNyX9U07sSYTbe5VhZjQdeTuBlVNT21U5FiGvOXWWxz
Yp8dI6taO+fATdvzGLTVcJgXeCPYQGwu3AwsgGBgYpJ24tu6Ywi2hHekRRUZQ9RdJ0vD5iWSnWVv
p5kXBQB3bJMTVP6lcoM97au2Fm+DtuMdfEMIpMmpfLXs36TlnB3IUcn5qTSAIHK9zbsIcHrMpW6r
GJzaicgKfQxEB/O9IxDBsg+36ayXJW6eMTN7OLlEu+5GodPHerHs52zBpbkJ3AtaE291Me0qIeUD
p+xQbAbbxWoKTVlYVxzr5SeatRqPWWEP5Y3wiIVHGUsOSpBX71ocXQhn3ELu06LMnp2IZW47ZrPT
s14UlJFiGeVJjH0gtqRj4+klJsq5sl45lMl1fPLFBSEePFQzuE1Ikk2t6SBrWrTO5ZK/xTvZPhaa
0jJ8wyF8yrwtAp3kFieIUxG5giA2Y0kgoKKMEycsZqZYMPN5mFfrNDROdppnBVR05HzQHTGDm3SP
GSY+NtyUv7mj67dmMOrBGvui3sy6WL9KYdFQrcjQUDtJBEht+RE9LQSDXE9OIy7QSb+6OKkLCnYS
RGxXbDB38iGQcOQ6xsTlvivXhQOC8bzPSK9sdBG0kudFRd2NsttJMBqZKYcSJUsrxC2PqFeY1bcz
mI5HL8rH12lR8ZmgdMyAnA6FR1nbEaVd0dCNNyWMx+dxtSOznQAT0OhVGt0e52CI/qDuLEfgKs4t
NhH4VPCRVcVUp5yA6xJQVtsIRXDjFEyN78Qi5+WIybSN7+FLodVaU5jfWJ6JPwJ/8R+4E1xpCp5n
BKf6cajjguqrFVZ1SrPSwWOR26bZaOHNZVofDfNv2VKKV7Ssma7dld4v31CAkGRoqG99MXg/XQvw
Mxez+iyt1eGCp8fyZM8TQ4XLBoCHSD4tQnKNngZJ8t/UMsH0XzxaugnPjg5t9zB6mB/qLED5qCTk
ZicDcQBjgQaklezyRujchRHmc1eCKHq2GBSi42du8Cgqqy5/5U6fMcgtGRmpfD3OtY3S08ZMPfJ2
8pyk4pc+yExNEdNitz8wSpqurJzsSWLTM7RrAKqGO7oaQzi1FibkSmTfJNDzj7xbntHaEXNdmYmC
JAudc8XcClzlRO85eoCv3BjWIrwp3uqOJ6yrwW8NlR8/K1EA6zxKeXLE4h9cGsEfYL1QJ1wWzvOF
BPTLd2CH33pSjz/cF5uJs0Hp1ndBT7Z6m8vJCvbUoXIVXaK2ZnCFOfaoRDn/zrDXf0+iKcZXlRK8
OQQKoUcTFzMPU+qG4c5F26VdgbFVf13EDh9jlsXDAtYgbb+9rIJDxuUxH0/EKETA7ly6C5WTqo7P
TeONT7A513FLJLl+uvD/vJOag3p9pInmcezaUp19o8dl46FoPCyh19iJt+Y3DtDfY+EvHbey2fQ4
y9my+qqv2yQU+awSFxstkYco6O+L1eSnGkzPucHWdkxjcP4I8jlOnn5iADSj0KcK2BNOqYy9nDPI
txEg5HxcuaBCEBowtAP1xXT6alnYDzcTNIYexnMVNJ+4AGPYRhyNnpdCiu9h1OQuMmGauyHu9OvA
LRinyzI5Zw/d/LpzVUh/rs6cN/JNzmvAWe226/3s8G/sndly20japm+lbwAdSACJ5XBIEKQkSpZk
2ZZ9gjBtCzuQ2Jer/x+wemZsyiNFn89BRbiqLGHL/PJb3sXLhwinrgIR4L0sbCvf6WgBbybGfPXW
RJnjBwdk7nNkuWBgMG380oXtd6OpQwxWhpwOOz189aKyuv4iEontn6D/jM9A2JNwaMlcfkaqJnoa
ET9Q5G5uvNHJFz+C/Jgk4EyvNp6X0aq3Xr3k4w88RsqNpVlE4xCIOjn5dzEt9pY24Mc0M8SVhn8S
Ui1AVrzr2kQn8qAvYliOmcgzhBDyEm3npBpMwwdk76QbDSgDhA0YIEvAn2AyMCQb4i1QWTcK6MKr
oHVqc7rpaek+tXVLUZ4YkfERnI9IfMPiKI/nTD02cxs9svaXw4LEgNhkLse8Xy59f5+4UKvRw0dG
B/GrwNDICpLc+gV8y2i3CsAueSNskSsGnHP8hSFezFzJAA62WYXlyRhMXdwqs2YKP06+VoAxm/o+
2dV2PF2DL6jQQAL8MLTDt6wfkzroMfAIAdM5zEXwVpF3CKJ0j0izLlBjjQQqj3RBAU5NBl6jzKpD
onmazXjfQsdYt2Mz2yJwoX2Fyt9r16mmUCLpzcL5hD0iZkHIGgsTvdqh+qHnrjNtQg7auwiXKVze
nDZj7ut5uErg25gHVQI8fxnl8tVM4vGbwV3YfjrGOh0M3jfDFlO1e8tspm+wHdDgSERmfUhiU38i
wSXCpstAst438XVoVhM6WzUd6tnJrxqG2clhwErulqLBDa/rVBmnFGCGnzMGkT5JxgKmcPEQK1iy
afo2GatQh1FCZOUrhnTPayQwoOSAqHEyEGo7NrOoNyO8kRPb1z62GS1bbEh0TvfBKqNDGMc5SvAw
AEa0WczNHMrig6GTDO1CQFzimvlKaCOv1Oq47iVaSlVFeWNvKXKXPQNJ45vsOMC2oBqoX61Ih1Ew
9zno9RAOw/wJGTlhHbTO9NIgaaHvD3Ujr4a4F1+B4aLUFcvmkCnC/GLgMsW83ibWZF21awCr+IV0
o5TOLGX6Ft/ulCkMQKlvloYEdgQbcW+jyoTJjItHXYQUUYapeG4/LOiOttd1Bcjeb0H04e4VlfbO
LVDS2fRjlJJQGjTKtzIupw+ucj30nrrE+5mgIPvRbKNPsec1MKxSxjxViV1voRYnMJ2EmR+kmeu5
FSPQzLq8UlOi7p2h1n3V2Ej2cTbn+W5O+vYRgRDQFE3vzH5SJu2PtIvtLvAMrL4xZSzztWTvfkLn
HD5MDXqTPJvu4PVTRRGH9DTr360Osd6c7/BiZdbyiHYKwm15Yh+tPrYfQHSh7BOH4201LDcR1qjd
hlmHmrd1MRwyy/7R9iQ8yB4AbDHK8QaNs4+JUev7NkXUDu0i88uyxD9ZbhPvOJGb3k5+onpRXLUh
Yi55AuC0SMmQ0ZW5swpNXRey5YaGSt1jEssB2jXRN3IKRvsEP/ujlX3XDSl3mMVJEv3S9JNZljth
VfIqw5/mI85O+r5xh2ZL4PQroAN7kZTOzz7XBMJ8jXVlquywlNh8IZrErFxNqgzSojE/NkJALoOi
dvIY9dwA9xrPEzbfCgHyBF4369MhX6HlO4Lk+GPBPgyCM5xnMD7Sve4yhPI2iMyjxzGMWv1dZraL
NA4ixEc0VTH5ncjpM8yB92mqxoNiSM0yUdn96JrzHYw5kOTMY+fjOA1khe7YLb/mFNIDDaNSIWBU
uE+ztG1GNeBU7FWENp5ydzsqLMMMMvlfuTY1+6arz4fJc+21vQCEIvvb1iaIdnZapTj+SYiWReVF
h07Me2QHsn3ZIQQnTEXzI7NV94l0F6PRHBmd7XSuOYDg+3UrsxfXjD1cGarlESjR8hW+i/1YVjPT
bT1OWyT2rbndoMsvtkzr8EBJ472s8qvRAKYe58L+0GcW89hscpnt4hJPsqMVVmD2VQhyq5PHAb37
be8wdhob/cYRM0gVXTryEfl8hhqIsT3kukXjSI8Ld5uV2XMNSvUZUiiEsb5p7kZzFDsLJ9lAybV9
BpdeMdrHsAHVp7iW9k46oFmUjqSPOfcHc3LA6Ebj1qod62aWhiCR8hYfk/J6VxqdpEZGp6VpI203
cBgHtseUx7Gj4kiggrawdO4XJM8V2O2mrvGaREHHENETkmLesE/0YXqybag1Y1t1rA+vlx8w5HZt
WAP2fIt5x7gj4s7YDJTgjrsISuESKeNmEik+InTTrma4VV+11NWfpF130FXqpf20DB7ZXpSZX+op
1fcOqFW+KjQZZfP9ASZ2O6fN0+i6nkbSkDEGhYrqMHnOkjmnqcy/2xoPMlWCfkG3FL+G2Qn3xIfq
ER+qkXQo1O6wVHV3Vjh+6VIO1l4UJZzMWFV7Oclhm+bTY1zlzp2SIbiujnIA/5KY8mYTjjK50bFd
uXL0xv0FdfJeA+G6bScNWLMTzvc2XfjdpDHLxv5V26yNk3TSMF6Z0u7KnnBt2MzVYn+2jUJ+lZm2
1duYkyRCz9HBUWwPNjIH+0hiexdOcj6B70KUIpv0FwYX2McsnrzvmeCltly6O6XN2XgbD0jO87vi
A7QnWKDCwLnAbKcDqff8ErtpcZ+10jjUw1DvGr3o5gc9AyrWQ0kf3E6ALmAMRCa1yMggHcYiapul
yQJihaLlQTcLlO5kKTj0/hm1/f+xwjtjBccTQljMHf/fg4X/Vf78Xnwv//W9/Pmvu+RHdfre/Ouq
zfnX9vdBw//5Tf/RgzH/7aHlAFHV1AECM8T836MGz/i3ocOad1b9BUeehxD/V6CX/4KSEDK8FvXm
Ok38z6jB/jeNkVXHxVmlQ/gb4r8aNfwpYc/u15Ek4M4YeSASi/nCn2NJQBv0qxOieTwW5iaVxalU
brbDSg4TTsRlA3SnXyACw3f0slMlWsCayLShFIYqW1KheOaWrR9OI8fkmHweKgS0f3vJ9/8MPd7w
pTjfIs0J3QNqwhtBPOfPW8QiSIKAjZq9W9CTBK2F8F2MBukce8cBVg71153dwk+JDGww4eq8M32+
1JRa3xE3YNHY4lWRfFxI/AITUO6IbB9TS24AJcFhq0RubswkxC1aGZDjQkxxPCwK4rqHbsp9vP0O
LobH5zuw4WAIhEFsncHUn6+gtRLG9WTFe5rANHOE89TH8i6py/eE7i8Em/9zIZvLAJPwKMr+vBCi
jFBw5qrelxUyw13UeYHTqeeqLrwAY8dkO9vA1AGvmJsBPNoWKhGQjcl4IBihaBiiW2tqZvi9hf2w
a+ACPpqwlLfrvtivjVv6ZdW8bwor22kK544M3badtBXQwH7gIFHRguOTcU+7Imf98SLn2v4KruVK
b5DDtZI6vI5KlHrwgZn3raS+n8NPVKKs1mJ5qoQrA2saYQu22Yswl2zXDvmp1JAEzWHALq73i/bz
o7k4X97+QhfIEl4cW0JnligQ47IY8v/54pyFjjVdUrWXZujukmn+moahD7QIE1BKuy1Gvt7GqWkT
v33dS8ExLmxJ07Yd9H0YPRJG/rxwoTxHteCV94yz8h1oYCxc3aU7GAayO5GJ9XDiLMO2agx5g+Kk
ApYD+ttxSz4oEDrwwFHQuy0DHuppXAgRnPFCundVPc77PA07qAgGmAB0yd6TEDEuppzrvUM7WxEH
DGLxC7lY1vTELJKBON+j9lP6IELlDYLMEHcHqBljX+0yBxnfLuyKOzW5mKGKq9XOrof8swlhj/8T
gKwpgJNng4bauG2PGTNWor4z8zRo1ZB4mMuPt9/5629tgYg1bAmOB9iEx6nxO5QDZURNbyg1mTLS
IwALyIWZsfzzohsbm9m6h0UFatR4b3/ym38bC59fGMKTnq2vTONX6nK9gRBkTz23D2l40S2msPcS
LLjffr4LxMP5KuZqMbhqdtGiuAAqlTni31qd5/t4dsq909QMN8P49PZFkNr6y8NYHpATsCA4iBgX
X5/mFXwojHjgO+UvoRNSptotYucRWtwblMp4Nm3kbBlWx2ixYKsi8xcRWcsDAEomiTixgh+mJY88
y7bAdYQUOdIPecsiR9wBroKuoTpUuk+arc0w3pw7atHmKhl7F9p7T00kci/QGO/t6C0bmBjLvT4R
31CDoRGBLfGuSvhrlPbiiMljiZYV5aYX8vNW7SKvyzQVK1r+VE8THeqV+8/AwgsgMJSb2FNWYBjt
56lDoNxQmFSFXXoqluQkU/OBQjy8DhUKbJaZvjRGXx0wl0Va1isP2uTpMDR0L8hRY26iENASJSaF
BLqPaGew4ATru4xaMLAqPzFBmWj0R58wf1wYRHlPMYsDIfqM+zYfygSH5RExqZ1pdLCA2O3jGr3B
4LRfaDoxJNAaFxBOibyGxcVyL7W+C9ykN42BnkI+Jqc2mlwfY3gDEYecCYohv5UNRKWoL4xHxCBI
HhIk7O3F1nZOnr5AQgCUtoogwiLAp6LrHhsj+8VMAukWPPCiEVWEAYo8KhWq3WUcID7i8chkNNqz
gx015XDjbb3YdH3pmuG2t4AuE8vKfSaTk2nxOWSNQonWcgLnc4evpVUcGYV/TIX3VLcFU8a+6fws
dOM9yY/JwTJY8P/4NGXbPNrJgqSX6j+QYOwZn50w922u2p4BqcZQfudNfM2C7H8Lat0m8baDus5f
YM7j9lwPaBUPN0uRveRO6e0n0N64nPOg7VhI6BC3oFcNJjKD69MLucvCytiKmjOAUV7mGz1tllCx
zqv1yJwr8quMMmw7D9mLFmmsWL7s7MDeFxX/S6/l5yGDs1BG8M0Mq2j9KYxeqtXNs4yJ1miGur4W
VxiJI3SPhDn4wKU4YQ+e01rGw9geNPcjbnLBAq0YxwjURGa9ubFD50nvcp6R9PRopz251fphyAzu
WrthPiw4PM5rdx5ZNrrymEmGMApUnJzckJxRRuYDol/evpvzk6sPFN2scNGxNc4Lt1m477CcAsAm
dFAKe8+0+El5JDJo62T/bIGCFSaE+QAeCNH4geQTL0RYYdPKVE/WbEPj91WFMjduzAoyBZ+/1dku
qq9wf6TReRwZYu3EiBiGclm0VZeczjfO7ZLF4HgTpBpnGhYxzQ3UpPZL741e0Hc68Vph5Jc7sYIx
66FAM/DtHFzDdwtKT4Ki2odRBiqy89JtOg1HJIQxCM1QCp+6sKTdlb9o7RqwHMnP8Bws3eyfD1zo
8sHI6+dKsa/sKX2hO+zhzJeezuGid7KXDq0ZdIWIBGUacYEWbDADCm+rbABnjehaWn28RIoB8iH6
5kiues5mwDgMOdL0mFdu5mc1UYlABVlxUc/SqI7n0wmeGFwB9I0CKazw2rDTl1kPw3sDPbeCJGmb
2EiUNG0J2xLhK+LpzzInmJgGKxd+M84KbQLQgX1safzegVib2RUvZJJ7iMCnjvxqDWcz+gqr88Pd
OSj1kvASd+1zOnFvSW8j7ozLXp3LB+odVLQFWwWhidOsrYNLs0nxH+TjnquJeE1Y7MTU8O5gsVbO
3fkJUS1/WbdEnciH9ShwbOOhU9zY+Rsow0PgRBuh8yHCm41H+q1yi6oFy6aEsxcaEpEo0TzrdMmP
sklfMhXlu2ZhqTRIV/8T6VyLYCJxxaxmSURFNGlHNBk/tO7c0URg/6bsTHiDCz/lgpbJV9nGbv06
E+STrVyq4xKVuo/wE/9JLdP1ORIj5k8iZke5Pya4LHDGZwg5uE9Ojk/Ehp+wuRN3ClokE8li+ACo
OKsgqXCD0LIC91NPz3xXovbP5IveuM4bO58rZsZNYS7NVrXlg4C3CV1u3sMmZSPOvMh1hU0LwRj9
igdJpAkgCSPhV7HoGo/AkyuWVQGtFmEvPo3pkVCsX7dNm+ekZIc7MVGfKqjc1xG/sB6oCs7xN1+j
I3TPck930txoXlUd6rTtkJlPTo3HBaKYVQ0NkIRsyY60lemB14QbQOqZf06H+yTNd/3YZLdamM+f
dAb2B6dgd5vQuDb6lJ3Oa6XsilPqxi/lMj3BLZo5MBrciQZe9XrahB5xMevYAiE+CZiz25mPMb3O
bDEHOtTB6JIGAhI9koaBMywQcuwmuRtBjYEQWvNz4PxpXccHoOcceMjm3xEl65vEijvoKiWWF8zZ
QMbGk9+LxQuY6Li7qvLQ+q87RFvaERWHMJb406olOsXO1Dek01YSDIKWVucm7d5zYlKNCd5tXT2H
zAWCicrqh+Zly0czTxlEldnkR6r7mKK3safOYZQVCvHM8A8H42IuyYjNxGfoEPomo/FDlNeBXCiT
hipaUwM1VFeNjJ170RfdSiIwttaIxW4219WVuxZwWUyeXC/NnSkg0DkorV9DnTv1GjqnqcPgC30z
c4uGcRtkqM7fIByEt21JsF/LPIwpMj8WKDxwvLeBlGN88LSivktknuH0miZbsADdjh6yvm1BPWym
nJn2oOqBAi3j5J15Y4PR/EoXErZuAOcnalTudBrqO8Ox4DbWz/kqXeb1yLYPiEHdDmiTMbgz270S
Tbplchpy+ZRf1vHLLCQXkPwvAUsI0QdNL6/zavgW5dH4K8M6AREfNwQVw+STAuqHcsZdGs0/+onk
WRMxQQvqOjy6AVpNjeggq6FBdq1MQDfpwya0KvC8oZEwyUBSSUvjdGsCw96tA1iS53sNC264PqSJ
OgbAcwP2MuKbRmAckCZKKuIvuv2fIOlcNzZS4UzXFKFc+6VsFh8j4wwbWYF+Yq99lx1RN62FedUt
1gNUKySqGv3YaGbmlxEhU0977HISoR3qBIBiOzHFdtfKZ8kQh9dR/SfYJi9iqrwgjsmfREikqcp4
/mR2Vr1+YQCNOSeQBX7zZUw15t/CzT+XdW+BxtGfB4NQoYn2uQxpcRRZ3fyIFs8ivMG9hV3VIaxD
EhzTGw7GjIxJp4ZDt0AzCFxrHLe07GjqnHMRwQGYbbeDSwVyXzX81FrRS4/kzjHZpiAIoDDo4sGc
3GaTl3gJIAKKL9G6RCmY99Y4nrwBidysHB7gnKC25BUNLCBYxAtHwXqfg6s/CLoP+3alZKJlPqHi
lJ7A450y0K8o+5AjS/2hXaZ00wGn345xO10LAS8m0R3UyB2Aqfl4VDP2LW1fB/qAvl2rG80neMhf
GcPdRR0qqcbsXY8NQQ2Rt+w2Hbkbl6yKoWpHdr2GU+h3y23Wc+LRxFXBKN0n5BVOai6OJBjT/eJM
zIsQMlMNeQ3ODkcQHjZ1I8ZNnTFCYJyKjx74vsGIIYMaOc+aNEysxjS+1xuhviY67x7hk24nMucq
t1hhKmc19MBASbB4pwVKHH5sOe5n+vzI9GnJ+FTUGhy+huVmrM2rJMIfOMvgGrjEtbAlz8EvabrT
YKf2G9tbg3RBtTIMity77RYelhzTWAa1L5N0U1dNdYC/tg/1vr0SXvpSavFLxGnfNJxDzOLvIpP7
PJ/oOFAknBHpqV7XKqNKrCktfIoicgKKa2OXmrO207hhnBo4M8u5As+3Vi3LRIPIsSVqMlHzXGFd
wrirHz9Eii2F4xgfG3r4vuvn8HqmMwmJN58+ZHaXPdb9gHShLnZahFLk5MRkd1T0u/Mpx0i1PCaD
SRplzUxbXU8cI8VlcoM1PMXm8q2AmvQTnRRvS9dioAPSY8SN7BNqlqwmD2n97/kI+hV+8Yu+6Pqp
QL7/mHPqnVc/9eauc9LkmmL1hSYET5Xbj+4EJsYzHkosDA5tyMmVKu3X2qiS1lIf+sgbbiWcz82c
rWdgxPrsKwNiPzkUQSFSD1iBFRxmntri1ZhuDT2+Q1oLpFVuZhBJIb5lsrvWmEYQcdXNbCxYHYCt
2qwczG1qkWAlmvGBORMKNhZ4SBBHwscv3gtY7RxxPZ9oKK2H89nrTezT2Aqf3i785d/aC/bKgxI4
K6/Ywz/bJ0M6IEKQztleQ6URaCMNW9l1z7WiKZjqqAAtkPl4Cr5yt+BQFRtFT6hRn2X9Bbbzk+4m
gj1MobumGb2jaztAT0/ZEN0DglmQIoJVYuSwSuJRR6JjHO7tAqED6CUkwF0EQJBz8FwjOcL4Ce4u
frEnZLdkZz/g61D62MaJo2HP07WtpuK4erxRlKxJqUMN1DE9p17KcIfuJLmXpot/irBemO5jjyOL
FjY3ZVt7ACfXLDBOQIRT8/oycsOrTIjpv2+RMxEwGRTALKcrYF50pLBeiAGrSTSvWmpK1xnDa6DJ
2sE2SLpw+P6cnAPvKuiJnuhaJZE0vv1Z/9IUQ5OELhsYE2Ypl708pIhrmRhZv0+dFgazscSHtiFP
im0EMlChBe1qDzpOJYn5TrtK/KWNSPm+qqmbBAx6SX8uKHa2QN7G6/dujReIJKj7CHmKx2S0C99a
lPrWYw69C/UFrKJM76uhGD56ytjP5iSe334Na7v1skNn645AUwVBByBRf95Lb4Dgjqsx21trEFgb
BoCrSaFRmmPEaj0kEdH17Uu+7tmjK22szgAgeQWJ95+XNMtOp9xEEgqsg7vL6xl90og/ibx6mtpm
2AyxNkKhatASjobi8PbV/7KbmRNwAzgLnEdZf1694KWaXal1+xpJIT+jobMtKSjeWeF/ea10mQ1p
Y+rxlzEVpyn6+eQS+0UA2uoRzvPRZ/qmze0dJIuvc4f5yNvPJf72YKsWu0t/W9DdX1fdb1y1GlVw
0pKiw4YwbW+wCscPqrOaK0ICrZzRfcLQDsdpne6ZYUenYsrR2pkEGLCoBls6JD+X/PPb97Syfi4W
1zpHtHHTdC2awBeLC7++JvF0xR7L0m+VkvOvf5LfDGe5CnzzO4L0l5xFGsES3wAHESLE9tdB5J+v
oIeeZ4dl1u5dcKiNYXh+qYGCqUJwpzpZ80YM9ncrTz8p9H1z3fnUJADHh2S87Y3sZ+eupBTgVe8Y
+q5T2YvXIHHJkJKlzta2zyOR376M6U5qjpyo3RfojoOyJ3m2a0INNoEcmYZxha7VMaZJ9sXsFEDB
ik+kxQUtXa16Fs1EY4o8Do9qA653teq52uYdqomI/qTpD7uFw6JP/mKRgnTOldmaDwY5Th/FePRF
fbrTughOCp0aZ4nibQf4C5Nyqm2oN0CSV0ndokNN3Fxrax34Rx6WeOeiy8eroZW1ju3OB1u66M3V
2yvkkinLJ1snyXA5TbiWOBZcDEs9MUwdhSFajSHlwixraAjgJTb5WNAXA9CwnWMzoXVQAMccBv38
mLRWt1ZeY8O4ogajkJNuSRtcjPRe20mdKdGw5s1LRlba4gN4S0sCRVSXTmhUvBvPLkX7z8/gYoph
mRKMC8zLi2U3dMT5hmSTpBTLINRxfXpqQKCc5rkHzAMfozgi/d4AkIYSo+VI+o7wrd5+la9nrg6A
fZaXweRed6yLN1mki6kAzNd79CauYTLQtWElwOO137mQ8TrSMDrERx29InyqnctIwxQkRGMnU6if
0hUEjrYRM8TsGmjdS76AUwPSzeJdu8v11FdAwRATM3rkw3DUjfxRxScE3k/o/GKoWlDv4ST3wvvN
dtVaM5YU7/S3j43JbN7MacNp0MZ2b7+tv300BngMQCUWB/LV5LikcjXwsgN9hcb9ihJDFbSc8Btt
yTrR7EMqZOx/rvXSnNF+Qmf5ZS7cdyLW6wDpAItgnghD03qNZsiNvnWUEGqvW9UvE57PltfAxfLG
2CI58s7VjNcTLMcxwawz9zUFLNLLkxfFEle3DcX8clyNWFH3WMeSKF3htyciSQOXhHrB4BdBEyv6
gHLUcwWD69aGt7ax9OikXDHf5la9HAYK700GxWRjYbXoayEkjNQcP7z9mV6fo9wxljckxDYR/RJI
0MjJwcuNreVoM57irep8DcGTXa9TP9HK1v1Bz98ZWv4l4edqrAiMUlbQ5OVOwn3AHavaqPDxpLFZ
V6ZFIT7hmFpZcO6Kjn5qVBZUtP0VSlCQ5UwalWvPkH67tiuMCrJqSQshZFCEHMyA/rc0xTWtFRHU
ZLPKpMTEsSDzTdk9Gwv51rknUgoKp5XwHkByJJolkn7tOn6xjD55yKiosG00Y1Q+HQttW8j3uMR/
ymsD1VGNoZ5CYBpYY6GC2FmT+XDEzHidUOIM8DCN9EnOs40qR0SOmduPtRK2k47LTVAPRPjN1KZp
q1Q7BsvCMnz7U/41bNhYwQheLrTkSzEL5S5J3CAruY/mLr7Hf4CmAOVLYEgL2DR9TM5AitzEM060
zelmSz40THrXH3sDXUkbJq0z0yM6x/rCGBmNzvjJolWkpN91xtfzaNNSwgPzUzTXBePuuzjlI7z9
JK8TWJf4SvIK4kQ3MEj5M943kcUItnHafelwGPeIhq0KM2wJKx5uosYrtp67FF8tN3R8E1rhO2em
9Tr+wuJyIKLAs9aFuIRQeO6UoSNTogKdM0WrjGa6h63bIQhBJ9xErepzqWSxTcw4u+qRMPGBMNNV
0OhjJ+ufZIb+Va87SMAuLFPOLiZKDgMge7a+6aKHY1U9ay1F53n+QGsDcW461ROgzjBunqVapwGS
JntKU3KvF2uPb1rbuYtKHpp6tD7rOfxM3Ts2A6BPaS8yQISIrn3kvfAPQ49c039ZIIL3pQvAJnMY
N779kf6SWbgG2TcCv57FqWyvb/G3rAtgOOKg0ED3NUOK84CgsNaRsGAipBK24dLlsMey5QqRSexA
EjIG9LQYHigobYxhFr0HONXAnOS0fsjX+FbbT2iTJMzF1deSiT7Qd2YRjl7M+7fv/nXccw2bjIJ9
r1OmXtZIPf7KbUHjBcsIay9C5otrqMhm2pHnblQeFu9EvVfJs8OaIj+lKEM6iIN9vaXf3lcscH5t
MipBWttwwVUHdn2d3J9nMe358/YMheCwrkgOQCPImzHn7Gp3A5+i3zX4rewkYBZAvsSct9/H5UF5
vjlJXst+W1FD6///7ebs2U1TDVDzPonBEXQN9wDpgCkA3ylf38p/fbl1i4NUMgXFxKtjJ1PA7VEz
3I9yXbVOcZw1EiqrZe1QO75XEbuXFYJDjCOigOgEyCaoHP98vBgKjL1A1d7HcSxR0xwsYiEiWJPl
BYyaPESwMzISzFY4M0hD4YeNyIQKrbyzKsv5MlqFd58OiP2a/YfWdvH2tDt7Y43AdUf2qE93pb3J
XVXuIZvZG9WVybE0Uw+0CpJNydKVQZvwy5OhWfXZtIeEdvhV2pciqFKUl7XKQOPfddWBGsaKt1qV
jL6FkOFWh6KMNNoIqjwDGxzVaDQakXkNlkNjopJ9aGfd2q52b3vHMHmHokmOdq2lPhYH0YeSOjlY
Bm3w89LFgBJlUvTJtJNY0XZirPsHPPYMGFdhimoylRrUW1wpyejoCDa01RPm1H6ZFeY1AFUJDizz
Ut8u6jIolZVc92kzwIazkMKFMWTuTad2D17CPWgqjOjvflSd9SGKE8PX6A7fgOpfaP8s4ls/4jnd
OZl8Z6OZl4k6JqokYVh8Ua4Cw7v0vPKiuvG0nFMeBIULLZc9ZuagRqD6MNkml0qNQv+g6rrch9Bi
IQXO1s5Q6wfENtZ3mw6ST4rYzMZpnBSHnfhHbqRm4AI93HAyIL3NAtrNmov8OQHSt9C/DBgiWNu1
KxG45qJBux2to7f++rTqPnSx8SQd0CYj7iI7T/bmrm8KlA/S1n2n4XR5eAH7Y0Oxg8ljCDT6xVIn
ciI3VGcuhq4L3MZ5Q4vond17GTzPl3BAGEpPt4XU19bfb8GCKkzSCFiVTxFURyuD9uuA3YSfqQUw
CKJ9vBvtvaroMingosROi+SGeoKwcRGhIrx9UjtunKCuHPgRkdds0byrGbtlMNRMRnqaKdurqtHD
rYXszzttLXGZ22OXuCbIqBvSWTXpuPz50HNd4J1bVGi22goV3AnSCTLxiw8FnwuG0rtSXoerojCe
aDtkexirw6e3o+YZAfd7v+d8D7TI0SpzAf2uKjW/v3i2TeOsipJBameaP8x1eyhg5FGI67iDwBbx
tgjwtt8nfQnveJHWXTWBOsU6x/2Iq/Dix4OD5xiSGEFfLJhYtwavEn6N38Xo/mdxA7tmbuHZODxO
hzBoXVv20VFj/dlAt7pcDaGSPXK/96YTwbcbtPyd5EsaPMMfz0gCC6PSNk2TxjVn85/POCcd0m8c
oUHPrjqO8A0DXUXQaNBUuD4/BHTB/F4fI2e1IBdbBo8h3EB9gU0IdmQhBfPR6mu2ZhxGBy+KXTi4
qca+1ltUHIwXBRbjoA02EDIX24kkMh9gNJs71SQDFJi4PeS1je6EXNy9PTkDU23YGjJNQXNggJBD
WgHhU60z9lILCmUsfhPKTaRiRFybur2b+MlAIXyziePocdakhlHSmN/Pi8KSAS14zFavJWRzVOAx
iIvqeLg1Eqd71lDHeHvJmK8Odl4nTXgwlQ6tYPOy1lKeFyYLdVMAX5/eSa81Wycdjkk0fiwKK8SH
yBLB0gkMNuwZlx06XtsUa4FD5iIgjpQbwsTMl7e5xzZLyyG+qbNI/16vEr764i03/Bb7OKCOyUTY
Kg80kvoNL93eZ/qwig96N1R5+hYiTshApbWC2oDyWKA3t9Xs6nOfz32AtchTQUPaz5bmvczGehWt
LEHNzY41JRpKtEv/XFBIFM027RSJbDOHN74i5jcDo7yUQ4sl0PausesrjNi7cdICUys0gDh1jOZA
5x5mK1GoGYX9psBr5xOaccA7ErZdtkBK27gyRSV2VCxMO9L8BnCcrzeskbmD8CYSN0XAxRVoMqzy
HTHOIob1cRzMZ0sT+Wb2nI9hnPyk1kFSkvnUTdFpziECtHEblYl735FP7rDaqHfekFOOl/CQClQ/
9za9gb3FyC9gMMlCH7jk5OXmOz2cv60dJhcWTW9i36ukcEYjiRkla2fI5QtsA/d+3StNDwlwFNHw
ThvXeXVyWXwiE4QanVzDcy6tsoueXpXed0RY4FQ+XnreM8Cy+EYtpdjqSzEFph6md1BN4xvDbQh4
DemXGHnp01CvjH3UjZgmfhm88DhG9m24IJYuQPlM9vUc4WpWz+zrIQXyyt/dKnJCX/NYl03K8WGM
7GbS9peqrZcHowLMJ+pl+IWdV3uAcy6YHE7lMW11e5dFZhTEQOI/jYjRPzLwD32BUgGWYMmCri04
DeiGtLjspd5FGqUNYC7vionsQwc/5uBlM5EDwvNtYZfIL8OuuB11wnKrsixACyf0mZiuSqjF8EnO
rK124JjR4sEtttLAwgaTA3Zhp6UYJ1S6RW9N/2aGq1TuIBhnx3GlBd6qZNEOkRbUvMhN7Ah7F9ML
IgNlQyzvZAV/WS0sEnoxKx59PSX/3GetbedZEYGKdRtAOZg/pUGjJIdThQyAI9kQb4e219djqggi
nRSLQl1eVul2VoIMhmQa5Gi7M99mNwCb867AHLmHeEEP9e3rideJJWUbWohUvMDU0ZJd7+i3vMcF
3gb1PbICcEwmVGCQoUK49jEpGESVix7fTKhOY21io77cN4cGhjaiK3hN4J4rcFEpGQXgtoPpFX/y
eg4qfeBT6xWuQZMjur3CQxUEZtU8YgQJMqZcD3f5P8yd2XLc2Jl1X6VfABWYh4iOvsgEcmQOZHLU
DYKkRMzDAQ7Gp+8F2r9dVf7b3b7paNtRDlmyRCWBM+xv77UhA0ERzq9WWb1PyzIS0R6L45qHztby
d/yLIkhtXKFplSh+hDb5WLlsdrPtnvJ+KQ5ojS9RwcYh3w+EO3+HgyQCRZXjZnLD+YiupQcArxBW
quaxnXnWtaUK8HtrrTOOWo0bxa84yozAKzDca5h88YjwNtGM7W5jHsFjBbwVJqMpt5W97KYF9OWo
5lySJewzFIDOK3V5V79DxE3RTR/lzPoGzZapkOARzwAr73DFs/dkLLttVotnet2UDZ8bnakNX1Dt
OCAlSvZ6T4mZAkwCetn3z+Y87wnI2k3jLFzgCmeI3+nk90esBatp2XXTWG/3wDYcXhaWi0QbOA/I
ceZDHNt9LFX3pAkG+F3ODz0ZubuWJtpTGfNL1IgTRBl60m8rzN94vgnzR21zTiiKxXcWVuwL/DUV
S0vPvTLPft1rbdBNlb0lo+TtSaHz2dG6uM1n+8menE9Q6do6y019z9vZ35GpMQJWMJ5ia3K3vcg5
siQco79fd8/m48Npyp8AvMKHHJOu6UtkiO4Zkks7347vp/1/Lfe5/EGfJPKbBKR0+x///tc/2H+X
73/4QVBKNuD77lczPfxqu1z+vzL75Vf+T3/y3359/y7/TaRTU/m3vdhL/kmmk9q+98/4Pf+3a/P+
81cb/z7J+fff4K9RTuc3k9Alcj9t7ZqHxvy3KKf2GzkgMIqWpjkkmqy/QyO939hPbX61TlrTZLzz
tySnboOaVKGt8tuhxJBu/FeSnFwsWI5+f5LGAoG/nMQoQTDXQvz443IloqKekgWfA7wxgo42t9nF
aWGa+0bYSZLsdMSkO1grNbUkdRPLVUKDjqBVh2psdDHqmjS92c9xadknTSUhs+rHhH/iKUne5gTo
C3AoEjQBDQnRYa5sgi5Wo6sBep4RnWGNFclOMaf6zc4pQFzgYSXMRQhZ3KOjonUD8p0OjQ4sqZp0
FpRt3QfqNOjY3FyIfjPsP3AdJhogR2OZ+6UeufN6HrzhHkBfmuzGCo1ircOoJjw9pkAIsIXhPO4J
WlwNXcAlMeua6MdkaQAQVcO855xHyUwmegA0WjrUNEYrok04PhTqV5yo1YxdwuVNNwHYPNCtZZJH
C4voVZDfwlPihtOnYSvyShlBuDguy27twlXoIGKY/Ts0gnFvuVaBrlXbyRu+j5bOVZONe6hUlTmB
DUIL2Mde02AkUhAB2gjzqm6vDMIKj9LWp1fGRxR1lLMeSibIFeQb1+G6YMwN3bYQtGBA1q1jnPRC
G060hChHo8ixJM5mMp/B43TaTWePoifInES0ofnU8F56WYr9JOJWC3JPxZMwU1QgttOo0WKzAlbe
JHvRtpZ6cZfPJQvEbLTeJiUH4QJanLiqSLZ2+Cd1/crskyzl1C8fVrwHigr3kB5vSt6keSQ8K3Zu
5hbTRSNEFK0LJ+41uCZgSQnT0PiYDjQ6A/UVZNzV8QF+2lcK2SwoM2xUA+vcnnbEnmKLUF81QtPJ
6rTTup/CmX5GB+COAdRjmk25STJtwj2IQR0Ogg3lzPA654awuh9qRSPZqITeQcm7IjDT8MbRKjob
ef+i1wY3G5spKM8Hhj7rp1YU+7Jv9sMYlVslVwEptZ6+XjzMgYGAd4p0gzJMHpuHwqgVUAEAI1ID
HFwuIIgTNlqi0PWhszEbRIpJGSUxyTl0T1xQ2pNrwkEBtC/u8nhw+K6a8U+zb/Ota5bFSyKt8twb
mQXEcAlRedWEfT6m8q5vowvMJScwwD4+OI1ZnZmjMp/PrDmYmbAthjKV/uB8vGWUK64mmUX7qRvo
1XCc5lCDCVrBxQt9Z6Rx1KxSUtupcROVlnFgigjjUlexscPchF4BFA0/FR3LVPglmuxOgvmwwMeO
0pJOVvcIhOHa1w3OFnUeVh35Ek7PsbyEcd5ySpkkZxUcXVaRYq2CmyaaNc3GD9xSc0ycyg2gyC+Y
SNcMfwV9fsRTcinlukxbKnUkb1nkKhj1+Blm21lJwYBXsxgZj2bP8z8VysqioTTX4q1GuzNdHbP6
q0mBtTdVfaxth6bTASqu6lHq02Tjl1PKY8cAdS0Ghe98bRRreGyzgjGY7qq8k9gbLJLcBigII+Hy
MQMavUtjxSEURisCF/1xPTggZfPJml8Vvu5NmoYz9zJTbA0jHU5unOEId5Xhhr/4ZsswPeRW4ZDJ
yHtuh40TuOZoBpkxlvcNfWcBjRbRilHwfMa3BEtzKkYL1mhoEOVT+s63U90AsgjGyJ9yoVBEHurT
c5JC8YCdO5w9j5pQO3OywAMaRdFm81ULw/DVzhWH0Q6NTawNXsClnibFrC+uFshREnetfhhxhn5U
dVluKKEDmhENVnk1JUy9vFcRS/WQlVBi5QmsSbgvg6dHP+usx4r8u131+pdd6Pchfvt7iPeH3QkI
wuLoUJkBL9eGP+mUdCSLOI3VeO/qbS/9UBsK25dJNV1aMiZPQyVN1riKZMFgCIh0ZdOXj6VQJtST
XPvZRcJL71BZNdA2ErK9otsEE5rlu495X2ObGtSBnsvYCblAM+Cl5a90tXhvUbE1XEby+xAXM6qn
WtvIHiZSSEaOvGv31rFOZvcEbT27xi71z6aoQ1rqqByU2LJl+4EvejmYxfZL1kKd78sMlqbjkFde
qYLffQVnbTh5YOT2EGCnbcf6fpwjULt5TPyE2pdxx+TdO3gT4rmrc7YzchJkyAvy2YPj5dsD9Mqm
Q0jnKJs3a8k5hCG0lWLqZt+SboUSj5VxbQ+AGXeu3VBBx9WP6ygNDTqllSPRu12jTlZxB7jUDbzG
jlZM3JRfOLymQ9vSvpVHFWTMxlSVhwz+TjBW0roUU2tcQe9GNxLfwUyJNe3KtQVpeV4isqlWXQqo
XWsXj/kFi6wFhAaUV2+4AoyeYDguy3YVqQxMazWWdI64t9hyacMlIZpORxpt3yupbalcxFeOJn+u
04++5xataO4dVBhtbSF0+kyk2odYhbEZV3xwnDfWZafiq0JZV3agfpJ3jut4uHMmGZ3TH6RSPuhD
l5zjsIgxfxv2tU/inYM4u2dboSdH2vlz49QVHFA08v3sdNw9aP3sA8DGC+G0KV9p/Gh9Va8/RliW
66aBlWzNRHA1ns2LcIR2SyLr08Gq8FDFvHm4WLqFwddSTOjGrQLDn5rSvdtpJu3BfeQBvJ3M+hU9
GI3MzRzPBC/WW+d6rnvwgKNljS/ePEKh8wq1fp/w6bzJkFvWzQoVveTrc8S0thlrvGn0t5wpxjLO
SVzaH0MaUtNV90wTIstQPrjqtdjc7X4AmC+trQdnh6GOQ2CzSO0bjZny08B9saLvsLjp5djFgcOA
dmvlLiXD1EydHNqJT13VeT2z2hJkLvDDB9WU5ilPWW+EGNjn4Yz5tjkmgW0r7qNA6ViZiWG/c6oF
7I21gKZUqGv5IRkWxKpFqgYKcq5kD0MpBpg1bm3Ar2syypmyfPHGgWYa2oDFrhYbAHC0ObNi4Zxs
5m6BXE3RuZAR1Ef2RrZ9Bxs7E2TxAMeqeFn05F9dZXc7jl6UxE8GTRRGLUCqkZcBsOp25a6evJnV
j3KaMRiY2T/bFpmNbMqMc2UW/UOUet5r13JzTgoTvaQJo4dZyTjyGGpT3vgyskdtnvnuioStaTZz
9WC7Q3+kcsciIO62zl2c5T1VYp4AJRfSQa03+ttEUuqA8EJ6ghqV9C2XifM6hcNXX3eKuta0vt9p
arnRQS2zYlmptc2yafyBN2uBr4/YolYtccV3sq39Tatz8zUcHbvmOwokcxW19O2sEgJsO5Qh48ec
kSNmU1LebJmkD4kWeu91K8ZHjS6fuxTRHUBpScnPcgq3diaY5DxAgwZKptEtt0mM2f7sbJNuHqWT
6Ffo5WNgdVnHvlohGq/NUU4/VBfuJA47soBlmIIM08swOypmKk5m5wy+Cmb0p1o05A5U2bov3Ngb
iXFPV4wjvOqIm4auRtQ2DFOI7XJMinWtNExGJZvFG/pRcbMGN9sPIdEzM8KzSA7HRAQzwxIwhcdJ
bDX0Xntg0QP0ok79mPtVKAogSOOg/5BOPVFWbg7xx5TCylsXYd6faiiyYNJCQjR55rTz0eWMrWp1
Fh0nsE/1BtcJXUUxXv8wsbtDnOrUFzOXmp+Jjel1oEkNL2g0Kk9w9OOrtEv3oxo1eSPRh8i4PJJc
nrIx5yGIeAmp80J8dAXPyLpBm7ojMKPtE7LK3H/GYqD0WUZFDm7PjK5EB+ZHqSbKBUAui72jxljm
xjlXvmRnlsTJCh1Catuq1nn2EkQ8hpr9SRB0e5tjw/hAZpzI6KW6+AXMK9trwg6B8zNofi1HlOtN
hkcV3oppfukJrdEkBHIR0ENE0F4kzkgtfZ/B8U8z8azhdgT7WY5FgJEEWB6bKLSwzAV4KxVI9DSz
zdRdN6l3Qaz0Hvh8yvMgNU6ddtu8FQIWmhsaZekzj9OhuYFCeStkBfC8cGXXrEMlsQItGsZ9YyrD
1ihYAfzUQj5Zp5hVolVaj9WF0Hdy6QB50ipj0Bk+mJGxa8rEain4znsGu2km9XWc0O3pl430ngmN
UZFuVc6TpmjTB/cYyqPTMTHNlSgnG3ZymDTnZhonhDZJBmtqhlddVW8gxMQjOEaRBB3enwtkB7W6
9tkY7wCFWu9Efx1+asrlOYn0cS+sIQuwfrevnTDarzFS3cIHfOzeKpXU1mym0fM05OxEWe8AkW3o
mlnPjhsfI8Jp2YaDsHKKKGS2Nl2tlPsYhYmRgRE/Nb2tH2gTk80hg0ORbr1OAYUbNe5Al2fcXByX
WEMeixlmQTGuSAK0e8fu3TewOuOt4bg1+hrx4z1XJTvaaKOR7/HgF81Giqnw546nk+zjVDkXoTF/
8YkRqGu6r6atKgbjndrcZg+RoDqrWjauBs+ZiBk15uBxnwRoFsSIk9HKE8p4VZqhgMZuDZ8O7ZY/
ozqnPLVL3aIheNgvJ1bWiXeus1DcuMI7wPds4felAsp3tAaHY1E6PUdDmmt08SoeVRFenXKXrmNY
H0WfcfwVvNjTOupnw1ccV+zTuZOPppWnGkyIEWVbzY2S6kvS/CssIOLkKua4ZYi35Me78bWuaJy4
FPQ48Aw3y7pZJ+pk+KznBtgGRlbXmulYH9D1RIXVKMBZl6pTzXAvOBVhhKGYAPc2tYdq7s2rWsjo
c25m49i6bqYGxExmQoZFlEV+weTxiO9KqCtjCKfpMOS9Eu2B3jRxQHZ0+lF7HNvULi2eRuGJX1Y2
uHtV8coXy8riZ6/su2nV6+qwHdSlAVlDUAXj1+2nMnbXM6nLL2qqoAyG2CYJvxZlPq4FvRP+pIUt
VkNL2bIlCZ8ZA/c4lctYoTtc82GwZxjEHOvTxCu/5Ppq63H2NJx/OpfIyLMPDr6GzZQzSAIJMt96
SJ3nHHXG1xVgsV7YQmFPxrR6aG0v/Kzm+rsbTdxyFdCwH7Vtt+kqqXBflEbyMCNKMSiP8xfTU/pz
npnjY1U7JX6wmRgUn7V6AcLv+l5Zh6c2V61Dzwv/OEmO/o2ST7vIGSFMJWP5VYGevlh6Yz3y2HMS
Ts2Dhqq9H7VQvkayN4+Frc1QNDUcpJbR7XHnw2GQRrnVM7Gin/HGmRzwtDOKI6AF/D+dUe0yO7Hf
VL5zH6GRRoQ0VGvTJ2bjh7OW3dVdmVxbZ1ojU5krfMzUvdF3kQC80KMv14yfQkx/O9OqgwLANi47
b1hX3DODybCaO1gEb5SxkJLP2mHrxV4TMDIitW/jN0I2f6GowUNeroe91SafmsNkALUC2FoDORjP
O+cBvTssLZQ7GsLyY+imus8UMFnTFZj/wA1cnmZTwKOnEZYvMm93GFjkjhmu4yvSTTf8fdqNk5iA
++FtVWye//wa9w+uCJXuedzwGE2o89Q0+0/DVYXltwQb7+z1PtE5di6nNNeoonM9lOawtniEpjVO
BG1VdwYYnqlz9oDl6Iz9b76Qfxh04zO3sXct2ir/Zfy5Ta3pQgKlmjPuJ9r70r6VH0jjA2yg3vTa
i+uW2lLySVw+AIQyPPRTxf0P4oRkPEtvQhCb/fMw6hY6GTUv0aagEQzIbWwV4h2So0PzdatYL4IU
7pWhOp+8beSvrgAebnwLcsXQax9OOdJAq3NrfEH+UMCBSOOm94Py2cQhB+/OjZ4c1egcWCdR8ioT
YwnD9eYJtieiAMCFF7eJeFCSeLwXlZ1CcSH6E0yzmh1BDzQ+lbQGBwkjugzEbtcSu9KD4xTTEW+x
ceryiO2wtPKNMeavulGp91KPDs6guWt9ES2dRb6sv5VMkiGskAp+7zhAcrUe6m/ZM/qWQDF7qV+0
YSAH6ABKf4Llc6+jlTUPVBtrLxgJhVgJQDTIX8uBnabJDr5Y5MJWZ4DyBKeH5zT/Pt1r3yd97/vU
P37fAJI+mz4tikYDbqnuJf2+J2iyMnYh0YCVJCupYyVbrhOoSfY7FgaYxZnn7pVQf2JA0oEnbiJc
8Sih1B5YKyX1aFpXljsLXgSuL+5ykymWOw0he3643HPCeJRxQMlacUurCXaHNnAjWu5G7nJLiuMh
8Zu6gA0roJ6niyK6ZjVRPvLvS9a43LfS5eblLXcwfbmNTQrytoBSMa3Rcriu1V6szzfbarM3S8/r
d8vB5+qX8IjGF2JBfEhwaa2znLlfbgfTRgtHSK9fm7C2y59KbAMMj60u+pKwacX1n78m+j/EMpBb
IBYSD9SZT1Cd9SfvVldScg2zotsnnLVOtTJGwGsS4beNke1LCh/2wm2KgerBKgzGprq4eRXegcUn
s6rYAwlYQLGoabMS+SgA5dJ4lg0P3Hqq0jfRSV8ZWdf9KkoMcTMHMA+1nppogHR+2M54wWh4GchK
gxIYtP5OI1C3FHeM4Se+T2MDWNLe27HI7iGtjUj6dnowbO1WGzFWxvAKoo5wdhhhyDAoGlejG++4
cSYlfOJiRjybAveeFU+1FMJOc8eWLVx7FyfCgrlhc0Bl71B3fe3kV9tO1atRaXj5KtOiSsSxy20E
dieIxk6JVpVRDWhvMLHOLC7i6jYtQBZOMtK30JaHFeuqR4XRmNMhK1RqRDoNogMX8Lr86XQtto3M
7ThIWvKqU9n6PFM56ldG2i/eotz3SKcWZLWd8C1mqvA2WhOdsENRUREss3ibENOnoyI0HWYWqdyk
zhTtStfilTPtwebv18A2mAraIYvQ89i+OjXcchMu6QZrvWkxemIyXDld7+1stQnvQzjCHwXcH3yX
URLQL688jCgjKAWJSyWW1R/yFGeEDpj7jLQ481Ry6MxpqztiklV+0B1dB/x2kvmwWz5kSerq6Ly1
eFKnkDeAmOmqHySaGZOceGN3HVvabPWbiaTZW69ryaMSt/qzSDE/kr9VaePoBUvTOKT3M20cPihI
42ixSq1Nx5FBxayBNAgAEyfW0qdSbQnEZLGH6514qXlIDJWug0La4R0RKXVrO7HKe+2lxl1dVDfP
G8Db5AgU9vdOhLnLvLeVJjoN85gXyDtU0KxSIrPutcxCYIH1MkTSvudJmhy7eR1+z5nUZeTUoOrO
zLSXSVTY5kylvGRKASyV+of2PbXymF/p35OsFqvLhgG085x/T7pKXVGsFa7eBeHA6l36rG71W4S6
l+xo89GiM8FkTQ2Wfeyn2Q1jw+1bdwUHAaZt6TLQXtXNyD+5GRj2CWpds29oGAyGwdL2uKok52ph
crnuvBmpCTZVlu5S126ZfyNgWH6TaNXR6AzOE+Jb0x0XeTeztFfh1lh7ZfQIKOw1aZYXRE+ZDDnJ
QYQzDv7ecza1Rv8YXzWYFyalxzFmRNTSKLSrs6l9/+cLFQPSP84uQQC6BJNMEyIuxrVltvk7q4WK
Mp8hiTp7LwIe4V1E1tzV/f33H/IvzbhPyWdTtdWX/J5Q/21i/T2F/vuPHquC//z5l/wfnXFjfcaZ
8l/PuE/JXDXvxZ8n23/5v/0NUmyScCbti/fL4ZvzlzLEhVC8uKt59cgm6hhJ/j7XNn8zDWw//AuT
jOZYbCx/JRTr2m8ejk7Mwlh1+P/a9r8y1/6HHcyCpoozlPQGI22Lm+kfH41Ra2foUvQAlL1JxWxW
1tvBEsW2SbWzgeVmn4Q97wtt2lbU/dLpSDhFFkrV7z6y/88Aw/sO8/1+gLF8HczwidcSiDaRzv74
dRhepFBoE1LGmLX5TjraxjQy8Mhru8N+dWQCKuxrCKqrS1D/JgTilR6Fp5QzyEo0xmMnQOrpu5l9
ITkbank0UuKRCY3UXJ/IZNnOsdao7hnwkZqWvJ+6iaRKS+cuoCBmPU9DywAErO4YlkFatNcxGy9D
BtLCQI3CJBy2iKNFdFHSmkI0K3vsEqMJWiN6N4Gt+yrqt2+xLtbw4BrEf/4gv3Mxw7NMvbZt/WhM
GFrDCY6lcaVgZ0GbUjPEB9syCXmlBC1bRYDfNwwQV1Tv3PVlAcM+jtaTfqqUamMLA6Lji5LN6Kvp
DUrwAWrkTjecQ8m8mHgCI0FxG0frDU6ts5rG7IwHu6Nto7fWVNi5O8NKXsianekfPNij9auKk52r
/lBa9QnlmpmWc2qs5sEOta1OtQaqhz/ouljpDl8GcJX11GXBAiKs8v5nImho72ZDI89gf8HaD/et
paPNzAZdcRnWh9GZj5wRTopL5AriSr4aNJ3zvX0r8oju3Ye2dNZkDmxi0sNNjNEVbxq6IWrVo+Fl
IIumAICPtAdKToynAgjGSlVMNLGbKMevvnD3Y6u+zRAxJuJbq3ioX6Mh2UxA63VhWDjqkRBCmoUc
74nHa5VZcEq5I+CLLzhj98Gk9udICV/Dej5Sc/GAUxtXttM9UZ/oa9rPqijOrdofu35EVu8ivxqZ
0zINwHWsl+ss5NwxSu6Ocq2bGJlVrgkOj6aI7SdGZOoKgPPPCv0bnHbhV21aMKomdJnKT1UCsQ/V
EPbvdED8DJC1ueHFL3R8P5rFi9M08yUl4fTSz8Wxzcz7cOz7rTstupEdDXtTt33iekcAmb4typ2M
s1e7C39lSnWa5kttPbVmQdaSBmnwqOo9OymHzmHeU3fwYmrlsDT8+X0aX+fQuetH4cM42fSWcTGn
+8atTyRO120Ts8+aU3XHvW/XdZSfdzZiLR03QZRK9lq8zhKZhAwpJYxufO0j7Y4mFETbfVsa5Rr8
9Irl4JosrFcI3y81+OQ5sz+osQnSoWRKqGjNSXjaUvGV5Rj2jGAasYa5kFxzdyOyKyP/9VBr90VB
F0plbnJ1fkYg3PV6vqJKdFgRAH1REk45Sr7l0XB8FazN3qg6kymeSqtUb5+rTjvEOr1++vyU9Lrl
i855Q/l11hniKaE/gK0cMorx4ujtFljRupxd59iXQ4Cn/NPuzasWoqWZ1Ip6Kp0hgvFe4tFPl3k/
ykzsk876WWXaPsXwSooICJ5eFZssL3dWqQ53zJ4xmjqE+sCsPSw+LyoH1UsE7yYotWtjz2u1Vfnk
GcpFqrJ36+REi+/gM4LGXtv0G3NigKnY1tXi9FnkKe4EKumwGW17fDVUdcQainb9UVmeTy3Dc4F2
a/M/+HqabXIs1v40VjgLmydKOi9hKd+6qaiXXs4YL6D7PA/TzRkYR40ejD95rKJw1RfNI3raZTbE
m8ytH7rUUaXCO3Xq3sSUvWSTU2xlzd8DNsWk0MfTM+Z0Ev1hMpUHz+XjKTBUIjgdEN6TdQc1cSWg
vmGgbdKd4w77gVG5rhvbuam/jKzY0lb17kbkFplnoLTG+kkwdF6Voh7XmnB/4c5/Hi2MgsgzAVPV
jTAWZpMJVRYjS7ZqtXLnzt673gGcEq3H8yfVbW5jW9BT5Unnxr8AZQPesLOctBfhlUR4icGYRVeu
1aJ9TzOHFwMHSiyHN/zPV1iBj8rg3qm9PM+62q9arg/bFqyiXkX7OTJ/YblkXN2AoERJu5v5WJUw
PHEu3GAyovGoQsufFgexopjuOm6IrzdjSIVVduTV20v8FwFDmWtTY7ia4iiDvqCcTNUqAYolP/Fj
bNs5f4AmC6RUie5bOiyFw/PQuHySWdDYzqnzKG2bzcPQ4hxqDnYs1xnws12FNYEbxcG23jojewqL
Nkhks0U+WuGiXYuKRUitqFWMw23d2H5d/Yjb8lx4zkvfaPsx93yZm8ehlbuhr5FKS1/DQ8/k0d6r
yYj9K5WrzLmJcPChNe6m5Cwq+TKh1g9DvoN4Cd9Xe8WueNEHGodmL1o53jaRIXjINtzNSryYzptH
O5TvTcYdIjbH7GA3L67X+FaOugoAufT03ZB3d5pzN6Jd4xBKQNU198psnKaRlase7ZWX8sorlnO1
xvhXPR2j3gkqR73E41fRz2cibvhN8LqrxhcuU0ZyXerT0Xnk/Ab+LPmi/+hnHJkXw5Znw252Sykm
FrpA7eJoZTXeq5sCcuy+JG5T6l6vM3fM1mrOlhh5CatXXpFnMVkHJ//Ru9Dt+vJHREaQ9p+7Tu0u
Dm5XA2DKVg/jE/mXF3CzuFgqJKXx3IG/neriIqziRxEpuT8p5ofnCMqldVqHphO3zIJuY2Odetqu
MFpyA917N3evYECDHNcGET2U9PKD/pJjrAAADFflqBOsqKyVDX63hRxU5LQzpwx/kpteHAwWBSpl
KI6tOwJNlGSasqOJr9gOxmlO3f2g5xfVS371bo9nKkqYEbB/VqjoIyaXXEBDVk/QMZk8euIuMrN7
qqtBY9oPXYEGhEMtKeRbfCrzO719SsEDGELZ1G2KT6HdYRquVkZPjjlxUJ1mPShj/lrplXRV2Tnb
fBx2DCV/Auc4xglDSMEH2Oh3ZkHZnD3me48BU9TmR3MkRunYz83YfHiiCwNpmgXQ2xismYKVKpPz
elyGBBQM3A/o9Gs7bkG7qSoHm4oxBe14a5C+h4zaJ4ZgYEBM61rH9hsDlU897F5oOtgCRCpWjtk8
N1m9q4b0OXVo8rKoodT7bTRymJkfe4bmHQsvYOy1YRUPogZPE7bbSbMCp6cuKTr1gwUiPB7vUD6p
YaBldvjK42INNkEKKIikY0OZXFImssnk27mzHh/GOd5ULbyv8iIYh/sKOXrGhjH7R4L3vHvo2Ir8
iZtqOmxn7yly9JdoUB+STmU9cLcJt9Ek26KD77rEvM5EGuumuxvV4r7XroXBAwScdE5+KGpMM5GW
UYiNOSD9GAa5swf9joLmCITneBi9FkCcsL+88jnm3Zyq6ECABZRmRaUjFwlcBwkVlNoUrXL30Ybd
4ZryPYFKqKpe51uhitzA+aFTnJdMMlCcxLOYI2jQFL7qR4A0QEhZskyOpCMV0qKwb1rx2FtBVFGX
vu7aTMB4dmyA2UXxFGGEW5e0iB88ks+dw45MNm0+OLCVTrVrQwu1KCouoQfsmYA3nCEbT74ycKye
hZwpGkysDnKanL5KiXLhpVjXm8zof/b0MwYwQ9StZVGitprtECNHh8DiWmOAIVf9tMs8vneNwj6q
IrJoBs3sYkeLYfZckSgNcq3wHpCX+SQVGf8oOA3vcjLACJ942wMJa/EAgUfv1lhz4oDBGy9snuy1
RZzCnaj+4o90PwmizB8M3NRdYU0SMGSq3Sq7MTaaE8mLG4PQUcu0OKqK09y473E+5mA2rvqmbO9F
kRmPLl/xWvEEe0saD3tVa+tj1ZtMsBWGX04TscfNyuiHk+buI3wmDLeAbqB/1eJUVmkUsNcweGas
vlcgjJ700gkPpKzag4dbCCS0wtVrbDw+d1SmkyQ+vi716VS5OszyaFLTG7Ew51ltVBTzqmRuhMy0
iWhSv5jjXL1RJOGd0Y7EExcd3h+XeuwPN7W7VyU3rAHrZpxezF5aj5aXxg+eoU737eDVZ21AbO/N
dLw0lRcfJ/O5x83KCK/ZerMcH0KGfk+KaU79qkwm/c3CW7gZKfoCXjfm903vdJCKZ+duYsP8EVuJ
syuqziWyNtKG28zltcsHebUAhV/yTkv3RQK5H1v6ksxbKmcrt9vgmmVkyrl+ZRs1foR+xlEQ6tq6
MtOCaVVUb4vlgo23LYHMHmHEzfKBYAgjkReD8dp6ZHn6kVq5fq7HzsBM4mhH/Jh4lTAWE5hLrhVV
jnG3ThOcVL3MpwtDZ3bSupj6W8uTOVHN2U7Ftqq00u/E/MlMF+F1aDvoFmH/GCr2k1vOF1tkb3ay
TNqKfQzJwpy7nGUfc7k9HkWSBsxml3o1a41ZIfJNxcO+yP6rOq/04e37ic5q/Fg/bepUDQqmTUgK
eIfWZIc3EtIMbN+BjcG0RvR7ykjPbmSq2zJsXka9eqSHcp+o7jk3O9/U5nWcGnzF3bbPyF41z5om
vaBW2leio/FqihJOlIX9n+ydyXLcSNalX+W33kPmcAAOYNG9iDkYQTI4k9rASA1wzPP49P1BqbRU
5l9VXbnrtq5VLpiURIYP1+895zuPvd0/BYZ5W05ozOg4riKdnKeRZHhvwoUY9sfSrOyNY8j0kOWL
e3qWt5OHXkTa6bqI861faZraQwMhgKK8iaJVJ+1dX7e7vDHkptw23QsiuhWJkCdfe4h8vV2Y5t/L
vHn6180O64d5649mB0Zyh4kO6C0FaQu/lf+XpgtzMiomRw0Hlb7wzI9O89iNt+PABBgr43QlVF7d
jEU433E+6fshUs6jCb71tg4qNawalfevHlLUD/fHVkmWXUMasX/jLDtJL3sqWXYXU4TqZP7Yccve
K+YweRisnAZKwdbslj3qLbsVTM18lS47OPixmcfQasiBSYyrMGCvT8uu95b9D3U83GbZXF1nfuPv
4cUigSK3yTvGQTJtcrOGfU8jcsecMESSzylDIsJwDANOHtEyqKzswXp0yQu+q8yG+jzUun0QcdE8
iKLJTnBGEFnPNWn1M68xfznpZIAhDPKT4NfFOegsJ6IRFuY3uZyS9dRGR7LsVn5Z6S1DLQ5TEv0K
7s4QOeOPw5ZIm+EwJZ7+nJfUGaWY/Hs7TvyttmTyzASHBwN9XxooelCnahr0ne0X5pfAN8ZtBpzI
KmMu+R+XQNEl5n5YbgbSsfuvwXJbFMu9EUf+9F0sd0m93Cr0c4pnc7lpADlw6fBpFseQdIItI5Ts
i7fcTs1yT2Ez1MdxLM7Fcofp5TZDPP8UBQh1Vt7czF9pEp6QPPg1eiuzeR7qTLx6U9fCPYlS+TI5
Lk2trJPT20CsBrvGYlhdhjSgEtbmtlN9Ad6cAk5CK1ohnL4hUjC/gd4RQWqQ+qakQY0AqtqVPNoO
ytA+ivjaDd7tzCE4BfvbzOMGmekOP4OLFqX98TdaNe98N0Otxz1tuDmLKdd63RRFeinyWBGcLuUp
izkk9mrweK8yc6ZSwJibDytYp8mHJcq73kpx9pVCOtVOI7cua14L645xDQ2vDEhUjAJtJZxy3CIo
ute8Ng+DYb/VOa2cTvS8JGbqypnlO+FM4LIZt74RPMZx9Zi2OtsaQ1xv0HpkqOxywEM82L/xiHkx
POFcW53vb5vSfkLdSgVkSGsrEMpwwiIQQe6V3nuDMs5eNCZbLnoSc0QSPbqChFXVNvGVVuoxMuNH
pIz6FFd+cshdyuwuE1ehZZKt0+uR2c3YU/S0UNxhrn+O8P8cPDP6Pk1GglR01lTFSbeV5nSuqT9W
Q8b/PrAwkG/1r05nFlc5luxdrkYbB3kh99WU1huz97NVM9t7TxdAMfPBWGEtcHY0U2mriPqdGdYd
daFcCTUy+zCHp7IYn6Gj5A+DUfIc81K9t7uu9yBGJyCt3FJv0gSSDzlljIoM09xbsSp3HipRlHV9
s+sle63w6GsG6MlXRji5q3BsPg957x4nM2HiMeefHZKnV5mDtSF1cYNnvoUrgDEEyypqVlWWjeva
XMTxJfYCfCig5Mg+WbexgzQk9DNKi1LwnL84AFcJ2qJimoiUXGkvKAhAb/mEJ16tkK/VuvH7R77P
OYaWk3LtAq97ajyVn9BfB0dZ+oRpcu1eF4H71QRU9JhI0iu9kQPFyNAT9+n32FKPGADBH5gRbhIj
REZdYMwmJRbApK+/gpciQZTskFVSNdmGqgB7yhR9TJN8HdI35P/XwOpYEYQdTLl7mc1CbqYk/66a
+X4yC0Up3AElT1uw74bnSsINovCmqWW/IQ3e4iWy5M3mHpcV/lU0kFI8QU5teL2aX8ZCWFunip9c
KLPM/33iLr2Bl3GJ6CI09Tl0rdPkDqhbLfbXWHNJECMYbWhI3xDwJ8nPc4vqELUEGGhJcGY4hPNr
7C2PzNCadvMI33k1NnDB1nHbz5+DKMnw/sDOccncXTPQlbcu6aHvsZ6sY2gocdKDHx/T1m5ug8Jt
Lz3M7Qsa6/Ej4Pw5mbJyD+NSUfVLbYU/rLuxlnpr+FF5LTWYNOB/ovEzNsGP6owT137ylpJtSf7d
d/zGf1y8f2tC9Y9nT7/aK//XvzfE2n8rbt6zb83/G2MsemKLxuefj7Fu3sP3JWzzL3Osn9/3c47l
fJJIdiCdCFcS0KaYI/4cZVmfLEuqhRgrfAfJzS+jLPUJ1SUJZP7C0WPvYU35fZTlfDJh3gBSlZZy
+CPdvzPKkkvW55/HnCRVWZ6CKEy4GoZP/hG/jjlnr6E1h3roOEUW5jf3PXQjfxVFdXaj7Sk4RymV
MGmFT0WZMKwhEmJf0bF/H23HvY49wjdHXsqxA0wQGdmFybAmyMF7CuFVEXDow9TqFu7aBNx/SOz+
rmeGjYbNwoJYdulDo4FIxX5d0we36f00a9mo66lBKO056FBg1kOFDe46MGAKW86WVFpSTOLgadSB
t0Opmq7czDnTvlHvbmSmFMXcTQVmxsTz5+s0m7N1O7Q0NjDPYx6hI294w25oevLdY283U23y6O4y
a1Nl+EFG091A9zfQqw13lbYPfIJfB+muhjI7Y2vcTo28x29/KuoyXOPqWXeF/O6Y0Xhl6GDpkyXe
vJe6foj43d4WUVYQb2OUe0bZT0Q3r5QxnDuHX6bfltY5nviRIyu5sXOA1QbKfnoB15bT0f8TRbaP
xvZLKaf5JnhufAvhX0VwEpmeV7apU7Q/LT6CaYNzYpti46oyu1qbXv69teHK+AqABLOm0VOEGMSP
Fc98XWZyU7s0rOHxrwSlxcaY44MxdXeGdHoaQ8341EWzc7TcbFvSDt5ESYEClUnE6FYh77xQPwA+
uNdW/xE4y03W2OluHCcP0FRm3zqIB8lKn/G1BBgbJ3p5e6/FmY713Dky85oeray4t5LKZpRn8aSJ
Mz09iDSYOYsb8o1hSoS3o7rG4/NEbgeI7Vjll6E2jDWA4OtQ2LealiKGoZcwnRCHlAg/utHex0N9
DuvmaJCmI+bwZQhJo8AlMjlTxEfV3NR1+z3JH9CMkaeMJezguGW6nshUw6u2tcd+LbC9k1RtGWSs
z8TMyOpm6sU5cRDikD248jwP8sW0DNFoCj+jrxoJHgPZMqrl746PlTBWdVqKJ0JborU39Q7uSFxG
OwaOdBK9wdxX2MRyx3y3kaCfZtP/jrzl2krmlS0yWjDVxWo97rV4g1Phvp61+dajYReQoaOt3fne
g69gnwXEHK3kxJPTAkNxiwLfuaB+x4/q403MwZx8Ke2qO5E0FLXrhvj0S1pZ5ZUVNNMptmvv3cEA
BwQiD08G0YtHXiLdkXzN9CW2SH7AXtVEZy21OOo4rA8THY/HxkVpx1JtGBSJ6Q1lEojmaiguWln9
0XXz9HMyBS7icygkqUiSNVIkddKq8E8lnoGdqQbi2E1z6aLM4zUP/OxxbqPxkeSV7ioWZfaU1bgI
qh4J5Kou/fq9DXp3U5m6J3XEd66J6CjPSe8Nd/T/rRvHnLurliiSNzNOu60bYtUia4YnSaqSY619
53auC/3Nskfa3A2Bo18BQ2Rc9uisrtFnRddx6Q9nJ0jbUxp4Jv2HvhcXzxvF/WD11Q2BNeY5Swr9
RNKZz9QNZS1LxT1bxiDOGY3dBl0MxAqyKty9mcr0xucHpDMMdiBOtcgPv9wy/2Dyb4nlVP71MezB
JaW9zi3goWqAq/TnUztJmEtazYyqOwzTm9Kui/4YN31zUy2Ghy4AFl6aw7CaJKYuc0jmzYA7B6EY
ymCa1U+qb4xdak3oddx4KSkbsyALIhI7HlsNc6EoxAHWwcYFaetcVC7iUyuyGzdQYJoqf76UysxX
BDOm11OIbJSV9OSghEee7zsHeL7ZGvqEs9KT81jXdCW6bshuVRdCrBumLngsh0EaBPBOVE+NO1f5
Ruf8wSs5EFK5Vthn4JmAPVo3iCnGvcjI7dr2yNff8HJV0abqw2LrzGb+RDCK9wbf+KpJW6LJJIEX
rkEqTJuvJ8bkZT7hr2/dfBOJFBRGRjqwFTJwyUx0Sp11X47tWZf1Q0DgIEQe0a760cGvHY3Y04OI
vEHmYxYRJmt3iIls10yWZ7s/BXVxdiO2fxRNTFJw3w15BDC1q6dt5mTk3Q8q/KJ7Z8A1Ntg7A3sF
wHDl3BRItjhjzHTn6iS+L2cVbsouzG66eXAXpz9LaXZZVbNQ4gwfgD5bFzdnaMH+decI/aRFKM9h
pKqbBNHLfWEqcdEJXL41ZMn2xGc9nvFbRNeDQOCNaJr17sEH/OqGaFZWlmvpb/Ck8vVYB+OuXnbK
tOwZb9k9ctlH3bKj0sbDhBSM1k2CE+eurKLqbIuc+1k3PQJrrkqYvQ0srowBPtm5uH+WHewve1ks
uzpwk/wRGsl4Db4iPDKoG3bVcg6AmPFP00zroLQLXo5VvqyDyntg6pl+Zp7dH+flXJmXE8Zezhpn
OXXa5fyZl5MoWs4k3yjFMeFVeM5DxZE1git6QanRHeMkWwByQ3hKW0a1fau89ziV06kMjJJmUeJe
dEZS7QLy7U4UIOoLicZ6P4KxYSwWqQv/t3HbVaFam7TQt1EEFhAxx7TMO4OaULxm9qlQEt/kx/b8
BPuIdNx4QPsJR3fD5FVlazO06glEns76m9yNvbVwKgfajOs380b69IaZ5/j4tfO5CcsXoFQ1cgcn
KVtQZ1bSHoqw7sOzTEVIamCDMWDVtV7fMVfKSXerqwjxhQgNFAWe1lO48aexot00OzP3NfpJgbmW
vBW2QVyQRtJat5bRy2svHJ270UAylPpWs60h+Nw3c+0kEB6CTOyJhEzTrVGbaDGDuPCZG5fBx4L5
Gjaej4p4VbuzNrZdllIB9fhh0rXLsfk6p8SprCF2mJwtUxz7LDGzMkG9t/I+QSDIbKe6c4MJiEYc
MyRsphJLc35oHE8gMG2f2v6smJxvw0Bcu55fXtvkiq0kgCuMGBZmphrRAtIhhKsBCmpiO8dNVpTD
CuHXsCLt8zO8oGE3xcMXM7eqtVdb0BUmeQmwFt2QwSnXGMQ+IvcDdYF/NUlCEpU7yQ0hgsPZKgiH
iV2xd3VBQ8u8jxlKbMbUQ8gAkFVnrlqHGbLxrrLdU6tGdUCeDIo5sq4ITr3Hw8idF5nW2eD+34q5
/JI2hbF8Rox7ppKEQz1cuM6fZrOMvjs4BI9NR+9rSIv5hJlhWI04z59NT0yb2Kym7zzxWINkD5UW
0pJWxJDwIjf8zzvv30Xy8Iay6Sb/83fe5luqo//+yFu+6bdHnuvylEPT7nAdQ5Djv78/8lz1yTPt
BYMD89dC7P7LI8/75MHE/YHiMRGZSkSOvz/yvE/Ls4/cV6SnJn/i3+Lw+H+RstrCQzOJbI1z3l5e
lX9pnaMyKjP+edU+qvU8cS9V7WPXh8Or7tv+1hqHx86ojXvebthyNXwNBkIMSZzShBfsYIx7y5K6
f6+rIjoGpBptyQ5z1jPwOFAdLQVnGnGYKCgq/PHU8FgeL4zd02+xUh9D16gN02Oih2IychQstgv1
VvAIyKxA9WU2L9ils/fCIyATTx46kSBJLlPh3BPr159SE1DiaKnhmaaa2Ip4DmiAMxP1k7Z4IO7y
dTSQ98OrWSZF1bhVBm5OkY/1apSS6U5Dw6ebqgeRWRrfIDWKVbY+175BjBsW4wcbv/W2CeOMoOGG
yX/dQl8OkmpPDu/wItFJHBoZpN/9oMzPCKf1B81o9OUTDp8u95rHuJPZPg4C1SOLt9AR9eiTeNWQ
0rXCAmt+TugArcHld1tBJtF5MMcBS9fc0QpucP99xgASlfTMHPy2ld2Lt4KIB5gboMhWXmiSDFP3
zrXT9j+854n3TBOqwfhtoqSwPFz8q9kvUFf9p/Xzb1K6liOBnfovjoT37D3/L3o//4WJ9B8cDXzz
z6NBfvJNiRodiKXCq7bMtX7r/7jiE9sfwTJuMdcmI43WTF4gvfuf/0OKT3wFnTOsMFjKxP39cTSI
TxZKX7he6G5AbkAt+Z1X9vPlAOqM1lz4rfgHLwmf7tMvDwn+TR5aaglFa5kieGiZ//yQKGsDln9u
2iinou+dq27c2tmXyn+MgxKBUwyoaaKF0zMaYDREzL16o/jad/5nPXQpDsrwFOj5OenUnjCLnUne
dXwmveGqHdDPuggeg/6a0LvnCrFa0oa7cnb28VwfRLkudLC105Jh21p13k4NfC9BRGlcH7AUHhNl
3anauWEuuB8q+84OTFDoK0myFQOb3VT6xCFUD55RPsyowgKFUV8X6wTKStp+zOnDFEIMymBLjGrn
2sO1W3qYMrOzWdo3uT0+lxa47Da/gETbltO0TzOFIKMFDxg8zuQTbrzAfmwU47Ihvs0CGx+LXmYH
Tn2YA9oBcZjetaF7sFDmICTsP7e1TxRg/Rrb/MroUhB5rI6MZLZYjL7gLaL2yc424cK/rLx/8CH+
VY/+24e4uKrwHIId95Ye3y9WhQmUbaMR+ZK0hiA1Vz9w9uFQ3TrTdOvW8Pq1TtbJ7G4NUiNR0vwf
rI9/Bdwyt+chQo4B7U2uUmu5/n79B/Bu87CRR8GWDFE8JNHZ6+rdKKiI+8nBHqflrR0kat8F8wWl
53OfR9aZa9Q4Zoqelrv6NuE1382qVoT9WtHONYNsGxTzeUzrA+QLSiovNI6iZUBC/BC99TTb7PF9
YsVhJsLbJt0OpOuQ7atWRRE4qGqsUzXSiYK+Q7HWyC8TZujVMM53nYj2c8N7nb33YlXyFLjjtRd3
pxxOwlVRleHp7x+k/16D/J/+X/93Gj2WY5LWwz8/JteaIzIK3+u/Ugx/fufPM5IiiXQtHwgTxYmt
Fl7+zzNSfQJeCPxAYcX5zQfy84i0OCJ9ZADciTSwAc3/0SLnS8qj3vIU8G5evoDa/3Ik/qsj0uQv
/9MRKXhk+MJljbPIbdIc/7y4O63cTGTxxDi2rp4y4O+vlQvKz0OPuCBF6vENXNVHkJj1N94a+Wcq
Hm77XutuazdDgYKtqLcub/fX2uyLqz4rw43pRelXJw27l7+/1P6/HNdwfyFLEbAs/9Vq1O9tGzX/
bT3+8c2/LUgPKxGWcmIdPYtPn9r89wXpiU94knzmObTGBYU+X/n90rY/mYKbnsVCGA1W8D+4mqb7
ybVZRZ6yIatgXbL+zopknf9lSSq4BSxEX3rSX14Jy5L95cCHQU0ketyPXGuFljsMSTXIwlha68kH
2UiBC95gCww8xwwZBsw9XHfRqtqjHI3FhEoMBKOncz780CxCY1t1AVxAjEbpQxINxqNjBvoYjsUS
VJvrU525ItzVDrp10Cv+1rWoDpq80V976k+ayFyXGoQ/0VXBCOIKUD/exoDAj1No5jaoF6k8avRg
ulNjkUFUnB/CzpqgSRyAJ3feSvb4qLuork/a8+lLUavI3VR0vKaDMYTP56YTdX0uB5Ldi6lZItRm
8RA4UfpqjWP4UEjsv0pIYp29KbyG5ATXZjL6+SMsfAcVmO1iuujq9wEgHlloydGJJbCPmvw5xE4m
1EdomvllbJr0tpyTeJsT+rvK5XgK8Z1szUyTeGfVEs9vGmJsARAMcNT8WIhOwOGKDn1a60XJGSNL
8jEoiFowRlP/a1gY4ZNUsbUoE7CMQksypLkJZZ9vWkdABLESeyWsaFwRtSevYj4ANP8wpFqs0icA
o89TRLt/48oRGN3c5OM6jXNRrOexysEGzIm15L4jZldD/B7ldvZNyED4e3wFpQF1poeBLPwJjb3P
ZVk6jYH5OZsB4Pt9G45rlYeA+AwLCKdEe8pYfvDRrOblm26Cpl1nMPIZ1I9RUdE7JNQZ1pt+zdIM
wwZ5PvpgNfw95mTlPQzlwfPXSdhWgMOcGh1eQRYsDgpiAA40w7uvZZ0PemfJYkRWa/h7t3Np0cpQ
TShreBOtXMsDL4jPunlqbUteMPna50B1zaPOdfEeEkgTIxvIK/9E/WVB2PTG8kuFzvOt8XVhbtAj
0rP147r8bHZAQVezuUQRx3FeP5CT6194K4OunsvBP8dJ0VwyXQET8HKN18on+f0OKcT43NhgZVe0
w4xvEOcdZ8NwoH7FupZ9KIjJe8izfL2Q/vDY5LmFiqbN6AvWLc+9AyNDTfKoofMTGgCkTakc9kaL
pCTUw/Dsq6G8d9piPlp0qdi3SYWxQxs4s0tFb0swBd4gjx2rdSBk8hGyuZZvDSiq7DpNq4OImrje
2r3yjr1DvzIl5YHeoZ2O4iWsJvGKu5yRrqiKeekp8wF6OLOLvTV5zsqzKqJBG1EP5oqua4gJUIPM
C9S3IJXz2xCOWxORNX1j60vR+6TBiySuPxx3hEiJf2l8G/s4xw6kRxJ2muERW3B51p4VHBISka9y
Qt9z7I8tX3ajdFvBtHuZG9fWQFqAq0jy94Aitaj4xYychektcD1YZQA6LNWATAsOgMaRsE3ztmBc
R9mKKh8TPiKHioiGWbrBsy/jbJ23DEqAnPtqbZgUeuBH67JaD2FWbfSck+xnz5Ew19kwZsVWBomd
rSUjhG9xV+qn2dX6JBIzCbc0R/FGGbYcXg02Ckl+TKk7xCtV95ZZsa7ZIi1P+iSa2dpz5lQX8MbZ
tMN8UxDmMJdAj1AIrVqKCaSSnepuqiqZMD/nRXFss6Z5bQSIFWYQXxOC34Ey1JzTfZoyIfMTDbCq
MwBvzT5u9lbGIPvlnK98PfYvdhDWZyvQ+s1kZJMyP8zmbScNOFT+SOMRwG0monVVze4XcG3pIeTN
IarIBi2bU3VwldDcDcECfbWNkEapUSN35Zc3DNdR14U0wp1wcjaNCfRwbRBKodf2EAN55OdU7qHz
UwSeTRya1iYRfvNtspuiXQ+ju4LCwy1j99mhzurqKlBRDuqImojkJqjxm2xIk3YvYTZrjAl4oexI
tciy55xRE87OMAJBoJwKNgmEWX56YTcblmb1nTaJxxwBWZDZgPZB2TdyOPlp/pAbbDcw8RGOiqGq
3iIXjCO9YM+7a8taPk9uAWQJ1a48C/S6T0CXqldCWLwrL05Di1dBCz/TK0PrtiQP4VbReX+qJqYV
HBuK5ePiXbB4ZJpoepqov57cFrMZFNXwGe6zwAqJyOi7qEhRPfEv1NZG9QiREVtN3lsL+pLc31Q2
1+xbJzsEtnSWjF9HPXI21ec+8+ObISjkzvIYooyBRJ88GjWCsdSIDL1O59TcGTTcEAgE7ssUi2GV
FmN2m8S+WKeywqA1FNGFx2C+1rNp8q5SBZMKXT13oUieSt8qNyaGs1K41mOLtvSSEKO26ZLYOlRO
Jh6haxnfZEw+z0qGstuAKbOOsYjRUkIzCx4zEboXt4gei0IYl6CYyNJGplUR3h0nFyOWpADYpAys
hyl30HD7qI+3kcgJTGz5ten15Mb4SYKUQSorIbXKd2x3AcPZLmRe5ibM9uZiwErnu0e4DVDO0mH+
kmo0WMZcEc+ed4W+LVTanLMSTxIK6+gzJqw3Cuh5P3b+uA8ipjGuyqL3oJvsTeENyb2HP2tvVFh7
kL/nuwoPmsJ2JY3fkianTuOwlNBH62vXybLPqe7RKnimHL2tSBOmclBhFjJpyeHSWJ597HTUPlbz
UBxyo9bXPirBbdtMLnsuRJ6SFEhYRGNbJKyb3RqlYP/ocLXc4ay0QsKOsERj+fHUthBD8z7Dmbv2
GiuIt5wI+tgXgb4JRS8fhN2VFxNLE6CQkKGfCHuYmY4mNDa1FwVtY8l97I3eDTCesD3lzWIL8YVO
r1VMpgKIyQB7YpLc4wX3v9dVarncypQS9FpK/LdmtcwXzKk2yjXW9Dy9RCO5aSuHYT73d8aAo27a
CHcqmLAXORNFgAqwvCQlaJSVzXwOSHljWu+qp2jGVhXqZ2U3ut4NdAAMYodqbOdhPG8a0uuCvaVd
OpQgCKfh6BNxWBzaKVYvPVlzT0i4+3vCjGmzJpl5O0gtobc6TYvuzuB4IJUk3Kssbd/AhhV3NToS
fyPDjsC3SlQnpRP26ox94OxOFhJQJlPQupnT3lHADpCB/F6/arNFRZAOfUssXaKtRxGP1Qva2vLi
N3AzEG3MN16nsFxxbdnjxqlAOa/qOoL3O2Xu18K2sa4TnjbdGH2QX/llLvb17KMUqYfW2LqNq77M
s9eaGw/S+XuL0nZaE+xobO2p7D9iCc5kx4it2w1AQw4xI967PsG6+NtPyRApXyPT6OF0uY9WjBFq
ICLjhc2JULeK8vLiDdnCasqenCS9x/IEWiUNm7OfaZs9S/A5QS89A+/MAcACC6jd5Mg53RX9aP+l
NJFdrmgkh7RQbCIgVgtd4TlWQXX2yZW594tC3aMYLq95vKTnJpzSV8MLiP1T4PG/4DzV+zkxSFEZ
iXy7QUrU06FPaVp70SSmq2K0+unAELRPrnQuzRRxZTgd8Ew5X4I0RMGaCyRaOZpFcqZK0LcrWXv+
TV6F88Hk5vpmmI36FoZB3W37OGFs2c000TaKYHOCRXsrkntZ+NETtE25gxMfv86GMd8LP0P3DETL
527T/bMJHuaeMV56A79uvsyR1X6zfly+dRAvuVMzmOQhDO4nPTUfY+E11y4ExMcahKpZhUCQmNGq
dw2uEkCr7WmkZgEZQWup8Hz2s7RuQecOG2K/kIvraIK31KSLo0XkdpLg844XSglKV3r6BfDxtJPO
qwjNCgVc1TY4taMaA7QQ5RfbqLCFFjX6WoJc7qJsqF6wEyCZrRgIp8AlnrFgMyIdpzE8+n3XtDtz
gIC0zuCbYSayZ+OY5JU4SDcCjAOr1Vw502LFWbwbiFnb7hxpKyv3ifJaUpxNSA08CcC41YM8lKOo
EsKVsUCajqYOnfqen6nLy3JjlVgV1nHgzEQeuWiic5J7rrIsDgjtQcOWbmRgFhdguvOhQ0JCdYMh
dO+IJj54Tg40GgW0vEd+bB8GU+UfXjFnn5dXdsvfQEjAprMt40F0dXfBV1m/EHs5HRPTyihVufDX
jhXM6xLxCF/pBSWGIYtTI6byXPhhqlfMgItgXaRF/J4Vaa0Pso3CW2zj/AhJUsKmTsAS3nV+9r1u
6aWzXXBm1ml8MZYYihV692Jdz45zCvVogrGcDIEWGoToKON5a3uztNcwKVWCNL2nIMHmCDYicjy5
UbNtTwjeVHloWiBUvZNHBk9Tjb0nlVHmHOq24aOhjBeZD2naGWiFcyO9Rwmj4nUeBU2wzKUIiMmB
sNuLSCjomfgThDMPbUzCbqP0wkCFqLsSidqSaaZPjWQIVuOQ+pp5pkJ6PGbtUkZm5dbtdO2tUXBE
Rz+hLhvDpLgOa/yY6MwDH8uIK54yZ3lTtJ6TEvHJLb4mE6y+tTvG1JlqgwMa0PzQg6Q95t2kK6j8
2fjM3ECKPWyy4mgQY0F724uq9azm9Dr37UoeLXAL4YvbjbgqeneA8vOfZta/NYD62Y+irfPPm1lP
Lb7u92RpsP5p/vTH9/7sZZmfhC09j/YYmYZLy+r3XhZTa8cltIUB1J8TYizzk830CUWwbZmWr2z+
IX9MpvnCkvzowrWizer8nU6Wcv/ayTLJWISh49KdoEFGx+3PnSwdTGXtWEruw9jJAMenagDp4BRI
wwLXeW+mQN6ZE8V0VSZiDUGP3odIJkXhbHMoDo47nOHCROukp0IGNVGtdfnUzfkm74llcQl33WjF
NMmlBP7QUdceRRxZDHrakIh2n2R2RMGeg0Nzyrxk7bmRuOeNjW2kreZbyWyHcA2IljHk92LFnEqv
8FeOyJCHA+y5+ltIk2XdUs0G8FcjNM++6d2ItovOIfOF7SRjylm3q3aZZP5st1m0bdrYO8VAmNe+
nut1BbVgj6XP/xpjpwAdzON9R1azvS+mTjy4vHJuk1JV+0UNvsmskfwoux3mK9wKcsNbrNnJ2c2h
xEDTj1Yg195TQmEBCYRpvM+8iio87KdkWGu7h1zqdN7dkMYQ1KsSvrBnlx+CbL0bOxFne1afW19c
z0UUc46mBwZhZCsCyXWmO22QAOPY3cXFh0WlUW9G2wWvXzNPUSG5JRj9211hqDSlKZCVOInHod3o
JFCPLR1TFExpH4gNqRCk28Un0jGItPcyexPwgqD/srhCdTYxZGv9GmJE3sninZpuwm1XB5/9eHRA
73rlZW5MDvGZDITHFOb3VR1PDc4JQ1yPWqcYY1oLY7fXkvotl1afykb30DfYK2i59089Iyx4oKGT
AGefMYJZhnlmDmAcC1kZXxqrJS4scaS3YqU1qy4f3JchVfKUAwyHYKtROAE/mcDpZtHXiMHAVrAq
DzSfkAgXjs73onDyz70j1a2LFWyV4lX5qMvirfUm9833Z3dPaZzcZ9RuF54S6hkwWwoVWIszOkj3
jAYvRPSq9Abm3zkooCT2Ysx3dWUZB18Q4h2EtrzjguYJAL68wF6bsKKdBLu9GXQ3NLOS63S06ZSm
CWAW8D3meUIKC6HcjN3n1qXixgeE/qiooukBQPd4zIbGvFDEdTY8/7J/txxv+N/kndly21gWZX8l
ox76qVEBXMzRURXRnEVqoObhBUFbEubpYsbX9wJtZVpOp6sqldFdEa032zJIgsDFPefsvfaWyZ2B
LKyKkNaP9VOXet2pR+2+IfpFv6lURwkYwOUdyrJIPiVsLeU8jsaqnJOqaZbnrhon/czrUkUuoAiR
ph7HCmEkHakYXkfgNEHSPWpPhZch6Knbt5aV3hk5YOdZpfBVlHFvByg0mEaRX6PnEJtBHepVi1o6
Ekwd8cZesFwggotDEZ5HAYWLAyF/39VjfdparrrnSU9rTuCivIZNp22NuK4oaUot/6zCoLtQ6wHW
ktAigb+1BPbR2yo+A81WdilaEKpcrcs1XjSLLsSoZ2deO8b7SnaQH7w+W9aJBsbEMfqNbXfAjmul
Ky6dovMuHBu9cpDST2kLGECzCrDZysHNKWeulYSnIvJwk+eDdaqhTtmpKATWqi7q00wturOALuuT
WVAZs1+bgAtiuC2QwQKhZ/N/o8kU8p8Y87XX4bmMh1JemxmNqNCguxySR7vGFMG9NXRpfO75SXdJ
LkR/yVi2w2GBHGFewOimsrcIhak3SqnKjZ23AYp3TyUlEiBjbSvlXrPcdB9icL4rgXBCElLzl06n
EJ+NfS423ugo1/bQiIu2Euad5pWKOdfQr+wAR5J0V9vRjkRjLulM118BHTpkcXXFnZmr2kKBpHoX
BmBHYz1u6hlg9XGpawPcERR4a0g8wUqtgg7Wgl/hhpUUyAqK32vDTr1VEDg1yTlON5zkcaaf+mk4
rofUMteOWzsIG+S48LUIxhBpJg9U8AQ4V6K5Kl2Mt/zRm2Si9kPYaek69WWwQo1Ynguras4xl0yY
mxqMkCbSJ8we7pPrpOm+sdpwzSyFWmxkcBBHVr1MW6nTaFBsccJOjWBGHHvEoidxsI3Zc25pwZSL
rnHkiTFq6b4o+xwAWfgZKIVDB77aFoFkjeepBn7rqdDHskdual/5JbTltB9OIMT6N2WUtC9ZpYI4
knq/ruVEg7IbUWpLaxipFFX0WwEybGT2yqBb/ryWenFa2Eo9Hw0o27Ih5iVxJHekiuzSJKtylmIb
M/QHCRPBpCV/puXtJvUdBA+hf0ZbSm5YqpfaQDGfRmm5Qd9LB0Qi3IACnRVLbBU49DVSs5NtjIpM
pQ2G4yYgXR7wQ9AAcauj5CRooumzaH62lD2K5EDKJ8ZprMwNidpzp9MhwY2q2V3LahyoE8S4FGVn
rjI3ba90BefQEh2ku+m1Ao01fiZ2870766Ire6RBkaRNtacRU3wqYPYgASBDhWFQuu0LTg86cJOm
Fhy+sS+Ms6AiMmagS0hvMRt2WifWtT6OG3B0I8oCkTxQnT6za+ew3iHo7WrTpehZnEzZ4HenReLP
SzMHca8ZOag4Rb+CFoUvJ8rVa8AJkFKkAmAhsCHvzqBfgPY0A9VYMFnQVimRArg3VOW196S11QRD
Hu6P8tR2imajk8rEY6bJn9MazKAjCntbi2Jkzk7mL0F2+2naPDmaxqXfpt41X0DKORVOChEZZ4cj
yL4xqjI413y0yPyiTt+919aFOuZ7kBnqKW7+9KFrVZjzkBaIR1ZaOEUdefAbYdW07FwkS6+pousk
JSgu7YvYQPWrS2sW+k4XLrEZWcYa1GtwkhlgXKHhQXQNegOcSd83Kk3kzIL/4mb5FfuLMDtLfKIj
F0qa4AdgGZgHJ2qljc5ClGXUXbh9L7edK5PLid3+krLiQH0wrG6e9CWtZ90Kb3Xq0GXEdnfuxJqG
G6XFeSSysebPtr5JCTNe6ZEAw5yH6lIHaT0vHRFu1DQkY9lm5EI37mIKKspQ4vKC1YnM+3zRkKQ2
c9SeopitBQV87M9l1fXPXdj3rzAGnqn/5BOBDweraFU6ZoafX7iKP9H8GthsdhjOs1zvTm1d4h8q
4N+NhpBEgtAmtCtANV3C46lSG32rl86NGDtsBIIAB4EdbeEBHVkEFZDypKh8TKpmtgqqJtxFWdZd
1JqnrD2w7te0yup1Z2rW3BDI8C2aw8+McvQV96i/zoJR52to0pvQzOGz6o6/V9Ogh4LV1isFOBcE
n8S69u1plpDx6JxHYowWplEnmOFa198OCmnjlU2TQeL2+qQxZF6isPL2aUh/Ru1yey5ZopCiR+Z5
QzbWXEk8wn9KYMxeoqMF75wMqiCNeXM5Jsi4TRLF8rkIO3sZeGqwimrb89lddYh/3NzY2Y5sl5rs
jU3aW9q1V7vBUhaYzBtFeBtzMGKgW51GAAoCz4IpAsj8tjsJEy/f211C46OxmGRO+LfwwQxlvSm7
uLhSAUQuekFnwAgze4YX27jjQUfFbUmH6iC0xNIg4WVLWIezsT0ITg1c3Vcni50zqzKT25Z43zVT
RnVZYu0Ev4db2i0HY2WTJk5OX0H2Q+y5PGqGLKNBxBCW7nd/Wqn1Jd2QFftUfGM2eFwnkfcK+axI
7YLzdlAe8YMEM93PsbchpZ1ZjoQPkFO0FJZdzQuh9tvCDOql9DDazXoDcnUzTVso4gmV48Kgo5bW
SXelxkwUVGM0sSTXHp+AcYykxbD9prL8gcJM/E7h9X2d9p3CS3GcMepUsqyY8zEjmxBYCkRehsRO
uBImydYRTvrb0hX9jaNp7sPgtMWFCEZ/5wyifPQgkDKrZIMPaUz466AZipted8eVapJZQ5IccyLp
KnvyD0XATRtC0zH4BtS5a7CVALoePhiWqyhsajKIQqLO1gwFpsTAmBidUPnsW7m/0BUyW5SIHIJU
WndNWWknSl2YRHi62oNoGiT7mom3oiSKGHsVN21smudGQuZ1gnHRXKSlM57IwLaf2Kn7a3Mi8dCw
P+StuW/q5hrCKvimOIsXWLSGhTkGw2XbZOT1xOMpUHlw8eTWB8xvSeChKg0Ca5X0cmTZ9qX5LOqS
FpQCI5mHe8qmcNkqWn4/ijSBpxI6JEXIwGpPPdseTgIm9zqjAGFdkgDeXlSwliegv+ZhwInFi4mS
7bnwxnZRGIq9hHotrvIxRhSnBCW5j5auLvOhtXZYvpSNKWLCQqMxL2Ex4fCEP6P2L23VP1TBWDLE
NMOVIdNkZfZlsgJMw8SfocFMJ0TpzOtM8j3KVNb2rDEZUzV5Wy1h0YQXY5zxhKb3u/WoX/chmG9S
cWA3XHGjuye923cnIjfw8zComGnhUL0WQc1WMO26HoJAZ6J2YL9AKlcJv2zuEMsB94x9dnvccifH
7beYduI8hdmURwVJXZxIsVKp5Ql17EB66dNOHsMMa5Mz7e/hA7PTV+GGsz6w/+8Upz51p5ognqqD
ZKoTmqQV5Jb7pMihWdeIzHYrAngoMOSx1rDYmbEYTSWIfqxGmqkwoZfW7dNjtQIkvae1GPCwtjox
BypFqLUOhWPpB6gu3WPJ4xzLH82WWbGpS7vHkGJp216aZCoYBYAPGXPhEqhI6CZY4wMTBgH9k1ag
yNp6byBiXA+IzWFJTPXWWI7XBZ6eRaIUV4oIw02hcMJ0pcivsCcb5C2xU4a6htInZyu8tXuANm1A
kWZIr7aIxmkgPyIrh5TC9wBvTtXuRWma8wal3d51IIaXfAcDaFxKRnLr+nl8rCNRAMRnQVzTKaDI
JBEqmnfHytM6VqHuVJAWmh6vy6lIbaZytdEs/7Skgi2mUjacitp0Km95k1OhS8krp+KXZJZ2Uhox
vZtKY1PxncfMKB97hjSfrKmAbqZSmqz17CmbymvgHVTaRFIMm2Aqv92pEB+ONXkylefpVKi3U8lO
Ooh9309lfH2s6DEieVC2KPPHqeCPWKRTD69djfE3nTXHzkA8NQnA59sbc2ociLpxFz9fUY/48N8c
nKjLDYHimzBo2m+gqZ3vs+pdRD+QWZT1UDvGNqN7WwvPARoFOUpMaTgov8y9akyCA83Fs2SCSl23
wtYeK5xepLzltv88tE23JX6Q7A1Hq/bAr90HNgb5ne4Up02Ykf+tEvbD5qm7kgRtEVqgFDHfaaRP
duYh3sBkqSgF6ogxtOUr9rZy/Az678C70l3RsrPyxuxADB54Kij3IB3HaSGLj2tadFzfxuNaZxzX
vWBaAt1pMfz5CTtaWt+dsGOnkM00XhZh2+Z3ImeXvKfBwGS+Rh90PT7oD+VBeSivuvPqEld8dqEk
5z9/RWP6Cr57RU01cO4YhstSaX/3ih0NFprjobdGYuN9SnDf1ZjpouE87sNRzNlJFzs5lDUGQT8O
PmnmSN4kOufXUTN7oHFD6K2yqEN9J2x21MvR03mGCwKI1DUJjco9XnfrxrJdHnVWlkM2iw3bARYd
DxJqY16eYuwG6ZmN/Qk7GdYn2ikzXIpXTT8665btJ82GNFqRLlCuhqord05ujk+IwMBKd15y0pam
A5UmUW7TsJOnSKHiS6Zc/k4kDVlF9OyL68C1xoPRhVGMkqInAa0P5R0hZ9P6lYrk/7I+9b9RB/21
487l88fd+m0AhPWPevX8z6+9evvvrumgEf2dENrRcZiphmHo+nsdtIAv4tgO/8FAioB7mJ3ZW68e
6j33ChJpWPi4Raz/yCpiI5t+fz9Y+At0JglooR3MLBMb5Z3qNFUjMkqHcU1+B21rOEl5xtoEjg8O
nNlAljQ9657bVE0WlbRC7oYqdtq5P0hfw4clcFB4Rdled2rnklZr1uaqTpT0zOmbab4Z1Fc5WhIG
YznRN+ibUB8MZFMExLbteEMp/Fr0Ip2LzBG+mtP1p1auyh3gsiy8MBExuRSthP5Q70Y2olXbrsQy
CvLkCmKBOSDZGsiCIg5HF8u+VDN3TdD8qM8ISUSshiqFgTOZr85GdTMT5m7rRVdtY5abkrIoJtAu
ezCzvHfnDZEcz3w47lin8qaRt97c2JUF1VQoXuLNulTz1p1Z2LCLOwupWwe6ZGUaVouKVi/tfBWO
nZGT3e6F52GtMbuIA/r0C98uRnXLTm1ixHU9bQDmdZ69gWyoqxtjpB5cetIIWWOtzurnpLAqT0hP
XRy6yRCe5h5j0ZLuwilcF4M04jy3w10vUNktnGTAE5/qNrjiWEoIZHnrOdDf8+YxEXEHJL6p8xdB
Jt1rYNjQNtg6F6cwx4ezvsPgPqtNF/p/Q7ILTeSijzeaIjoSsJX2MtJl+llPA4VM8yjwkyVUCOWh
IsgOVBHc/XxtlJW1hzFCx0UYUAJnY0U/b05TM7nJCURnv1GrhHczgihyRuuO9moVqjuNErTkET88
cTuNAn0BjOkYrUHUYDTGuA8onmBYHLSNp7g7LSyKlVYgRBWymgR6SrEPWjpYep3DQYsc9bwkZkaZ
RWOUdovENJ1lbKbFQa3q/hz3sN4AtBjEnGU63iqyFkuYawUiuwJRWkhVMxuHbFjXRpmvclMbVnCn
+3ub8Jkz1c9cfMxxddcXeUjmXMT0SB+xUDuq4zywzRivtbzv95jVSVSoEZHEmttdRBqrfhKbIdrP
Mj5rNBAvDcdiHEYSsKehZ4KL4tAQy9RJPimW3SjFclDC8UyhITYpbL0tFMh8I9LAXWU6MUJgAtI7
qaH/yx39FmcomlILeODE9i7bHTsJrnwmVgOyNFRTbmvqJwAii3nXqM4idMJqV3pSXUDVpePsZ0AZ
mqbf6nU2qefGdl6qFhNfCw4i7D2D8x8Lz99r8DguddE6iyGj+8W1rq9JcrGLRcDm7dXpjPqy8QoB
ENrUrskjGu8Q2WKitp2BJlNU2i3FQ5HdJVQU92TFF3dxXjevTLmjO1szT4DiNRsj5tiRSlU5r6A2
7geRlo+lSKvLLDW0A456InFLYbvXApjvPAsSgn6jlBIH5OEAZq2PdGJr9IHWMNPHQzdG9TADoWnc
ClHSM2ihzskOWmTvR/YFtg7riUT2ahmkpgc6x6roRzo2GtUiJE8VHcKzXXn0q/JSFfAwFXO4iOwM
XRklSPEqwlK7my6EG320x9fA7rpi4XRqcktqk305pP0ktCNnsocmLedMMjo+J0P3RYKj+FHHc6qs
GwJ0zYWbJN65rtvNdmCNuPIY27ykQYyrlcblcB+Tj0SaFUvzRrfIuSVZyNNfod+hq4EfNGX5xsK6
adwMpXNDFTgfE9Nnb+hnB0sa3P0UswWsuiLZq6HVCsYDGcB0zelPqdtrNH9jOK56HLQLPM3U6MAO
UPNSljERQ7fAhmhFHYDYA+i13NLNLYuFTCh5IF024yZBfVzSiw2aabeagGGJuUkKC+vr3KlFdeWL
BKNy3gf5rA2b6hoi4RTzTFg2xZy1063Eu/ITw3ikZxZvM3X0npSuugY70Z9GfgP0HFRldAnQIU7h
TcfhDPW7QIeo+80Ju1ZSPzX4vYA2B/3Uip36LCnjAAkqmYgXsdm756C5qMCiUWk4EYkxXnZW5Xcb
Edb1NRKa5CZofaD+kdIt29a3d4xa1Uvaad02ZCN5mgjmUmHcpKixgKMu47h3L9JsGDZtDliEIkrB
rdHAMJ0lahcqSAlrS1mhrQjNObaBEurBIG6toMov/TJis1a31hZpX3roSaU7ICoEY4/qD9qhrstn
ra5tRJWhuGk1UtZHI7OXJP460Ihk8dn3/O5AnikNCFB/cIVihWnWbGw7ubEGmNHMZhJEnVr2CptQ
xnSqbQdEFkloLVXcsBBmZZ4w4spPoy7WYR9NZ3TQgfjanZmv6nGgUcGu/1KxDQVngOqkxQrwI89b
p3CZ/qF2h3aimSnRAF3bMc9NaBAEqfDAUg7Nq96aaXOhxQ1ldO4YBAAjeGO+FhoRTYlwuJTgmXiy
y0peZrmdErBBnY5aMbLhOtIkPUXwVfLwaq34vKp6H6pKmm8Ds0qIKaMb/GwjbKxmCiWhOvd0PdyB
nenclRCtemvZSXjHMzsO5zIsamYpbt5SYyrmLkmcYu1apkuUIMZEKnjEpg5cZ0JMRKPsktAb1ZOw
rbIbYLI6iMa6inZjqajGLsgG/T4vVIjviCJPwsqyiplZZdi/pn16ndviqlcdsTXcICYnRwVg6viA
QfKx249ZxQlxWXRnil3X9ybRdq+B0473aietdYK14qQaHbQ8IxForlcap7aEysq0urLuayEDsrc6
GE4I8A1wjvgg6AZDLj1PvDK+zzHNgZHhnK09Oi5IJSs3OXWHxnl0R0wofWg9kGlWrAcr7gleNbic
fQOcmCyMGyUipS9Al0ncLOIIBrJIIG+Zf5HFUACmWDOhSB4zX+3uBEtnMYuELIADa4Bj65F0FyDD
/Ub0SbC1wrw5gebpTM0ca+15yipsdDpXShSFtDG69mkQA8keYWxYc7Ss8aMzyOwoI3M20gOIrKPm
FYzJ1fbFMyuwrUTOAHK0lmoRwofUq0MWFs6m67j8G+r/nVY7N2Dt5Lpz22vNbot7aSRy3RqyJl+h
dVixotZU171S5axNiZ9ch1wm92WvAvph5rvBnNOmS7Bq4ZUY3bbfItknhCBvitpforw0HtyqHj4V
NnMHOO8hc6kucVnVo9SrGnwWhRfMSTKRc9VP6PbyNY+gYBuzYtkuksewtDpOoovMchA8PtfepLQe
gybeR0f5tTspsfNBUfYW4mzAMDawBfTa4VG6TWSgftIYHdino7S7mFTexaT3rifldzRpwCOgMiuf
dO95QhDcTWeceJxySHgeYOzKPKtSlaaI2hnLLpWMSVyVmjsL0pOUoPi5jSZxXzl1sVAs7dxOQ+3c
YqtMopTaXXqTZD2exOuIEdCx1xrP2Fl31LfbZUdEyCR6byb5u8b45dQvU2YgSjWJ5FNMQ2dyZLNI
1oRp3ZlHQf14FNeLIVNAerFBRN4uLWehT0r8krWOJ9hgXhU2k6uF3rBLXGlllrQzT3FcZWZOun4m
wO55h51k79uT7B+jA2zulsj1LcOH8qGyNOvWSazhlNwAbANG1lp3lZWblyx2TG1S0jUfuYHVlT50
hKsyFMN8MNkQ7MmQUMQmNhHep1jQa3G2gg/+6lptivSl82262+w3T7IuxeiQHE0PqGYqAKuTF0Kv
JltEmhR6xqo5aMqiqZi8z3w0/ojtGN9gA/N9vO1NRegN2gFToF40lAOhKNV15nujPq/Zsy8K5IAX
o500j7ltEYZcEqJ91jg2A3PHAgBHPABaTaNVL5zKSh4ruhg15rEoSi+qLFBJqi7LxFyYgYGTAhaw
h5ul7TtYO+RL6Ju+YM7JHeHiZmiFe+8BOSXqxvZQ68Tobum50W4HIZ0YgDWgbqn4L0btvqrodq9r
S3V27kDHl5GTH97mipMOlwRNDs2KianxWkkmauuCDvOw8tQavg16HL9eMDOsgotaNyg5kgQyPE1L
beShB56aZ9VwxT0D6B7IcD+vg5G9Bqv/rg7ajWzSbNeDP7hnWTKvrJzHQRh57i5rh/q6B11HDz8Z
77vRtxVMNmEPcCuP6PEEaoLaorTg0R9r/qkp8Rtv4Yu5+Nfkvu/++M//H925cCZcLNyaEMaErCD8
FR3gHzdLFodneTjCNSbCqvxlc2hfkvCX/z3RNv6Iu/HDl/jSVbF1EKy2QCpCODNXjfarm/eI4NAg
adgQz74az9/cvPjLUT+yPGBgFAaz7t/6KiqKSvKm4XrQxuWQzn+igdT07/E8XxgcKo8MFPgmU6f3
fZXSi7qITAcDMdRtM+Rn7o228lc0sWXII2fuTHAJ9C9X+m3GQ7eBm3VbleEqTO89Ir9CT5k7rYEq
Mn1yPfyXAZAqNGvKisnqui0cmNNkFjifhh61MTlm8Fjvm+6J7exSGZjmq+O1jnuzE8OFjpNDV7aF
8yqxmG6Q7bXi3H8OkJhk5ulANyLrznJJNpj1mhJZE0sMT+wgNQszLYIPV9XO2zRbDBhYk2BYp1aM
UbNvkEdEK1NZq1YkV5FW+zwuk/MetDxZ9lbWfaLhclvV6mU6Yb1D33a4o2FpV/RPjOxznVxYTgut
D+MEwzhqah83FBsFCdDBFnssa9d+gpNSlyt1EJtpxxLjOsDCcKr3WjSviuKiatjclr5cNDBKptxd
BFuzvogippn5i0ltPc9K41FFi8nXtGyB9qM3n0VetzKqeDUYw1zW5BhZEth3daaH9b62dOCQ+ufY
tvZ9znvlGQMpXxN3PTVzrowrkRLla7BoRXT9ZhNJgG0qR/WDcO+nhCSWqDdnhhOelxU9r/7sm9vm
B3Nb7Xdd8y9kDlW1NQA0NnOG99cWqtgK1y4zhX5Mb2XNJN4wqn3fmhuo/UsStstFYlvbOs7WSXHB
tGNtasYOG2uzGFRmBGnV0rTz3JMp/CJWVHZopHNFGJoaT9/rbQ741bzWDZOxXFQtSjbXZbZTG2Mt
i2xHd4SUXqq9AmXjeGkmwQYt/FJq7nnNV4h78tWQ5pUZPyqcZvZAc7jDK5/kNQDdc0QtjMwJjgd9
6Lj2QiDU8KWyoUO2l6ZctbqxH1T31DIQKeHRcHsEXEF9ExVYLDWLRJ+toT1ZJqSWsdmynJ+rOX0+
JfdL/PB9MHO5KhHDr4oWYkl2ZpeoVYALm6nzKa2HTZKoML8nsCFhj/O4GU/HHhK+4x2GwlzlGcMU
DghNHzq7og2IeIx7IfzzKLsRUp5JDBCV1t1k/dMYmf2uEAOCL1T/j6WnMwYPMNpE+jIotLUVcYl0
lrGiCN2U1HRqz3ts0+HCh5VJ8E9O4V/rzQ50F7Xy+PTzy0RMk4xvJx3TVYJJVqcLBWvDPU7/v+EJ
jLnqYNvOvKWVxy++0tx7nD5Pak+lDOZjK5mmyqvSi8/Hpr3wK3kSEb0V4hPT4qpcMdRELehGi6gq
TthqXQSCKMOwvqocF6xnzcY1aF8LM/sXVze97+/eN0AllOMqCzgPGA3N4furuyowBrda5C1LW9pU
GiD48B2O9H76ht6LTOgVYltdY7FYFGh1FORUlKLNQVAxF9m6DJJhZisENcgS3XkBv3ankYCRIxmy
m0jghoexHLbXLKxrPen3YdRcF4p2OyIvhrrzjD/7OjUqmgtOvSAksJ6hA+CFLZJAe8dhaWzFKzlo
DdbwWmGeg+gyGrEIJ0V3FbTtnmbWrrA8slms7Cyg4byyLPeptEdtxnzwxtKSC8KjGbebxSvemmBp
6sVNVyuvbqATJhdar8xerysrekjHcC3bivG99lok1GG9P3cz3oFfnkjqtBFXPl7UO1rTa8SS7syW
n7pAgfvtMCfulpC8KdrgHwfzMDbvswInGnoPg/ZOatZnqGv2pGNHdFcoIBx3o2gYB4OmuY9kfUvX
i3XceBjj8tYP+wti6MdF2yA5VMi7jMp56asbs8yuzaDbqBQ8WR199tTiOgnqbSMwzyL6kJG5sCJn
72fqCTzHfWcgDUuc61QTNHdTa8Esc+mimg/xj/qBuuKrP1U1yD9tN8EJ7tGJbWDmL2sbeyPt2Py0
9sYl5OMVnuF5YtPkqR6i8XpCRcWhswianVvEJ1Hm3UtO4XogLA7nE8ZvlD9OPC4D2vZI3mBGE9HR
02ds0O/hEHwsU/jkOAizjQDNOR91pHGRZdf3UWpf5jA/Sf0qcXd3Hf3GFt1s9LlMDFSr4jV0Usot
996oEmqU/Bmu0Qo2B7JxEiIzbsOZ2+b7uow3+C9XUV5cp511FfvRzhBDt0DVMSuRnqO70vj/9cLN
mxXqhYXnVxlPpodIdBu97zdpEwBHykI6X3V6S1zLg1+Zp73U75LaIbXYejDH8qZPm3rJVX1Sevbr
KPSdB+9m2aEwQrLu7wZMfxTOw7CQvpMsTWM8ZTY+w2p8gVBGrm2pHgwyFpcwNa5yfTjEZYCFqakf
1ARUp8Yoek7Ey14a9W07OtuWrAyIEeFSiU9idMIYRjJqxH4ugugGH+BDI5qdSoZU2jP9UTIk1Ym+
UTq6KKq6T+HkIku+SzGxOjJmGOteWY1y5sePqCJoHjVzFy9t1YaXOu74gavdoPs6hjABOGN977Lt
19E6EF1Xo/LRyitP+dTGzqs7qk89hFVf9CutcT9HhliEqc3syjSvPPclpUNmu0tDOZfOeaGdE/ia
NVdRG+6lki4anVJHv2oHACCRc5v2FX19WgLIEjOLQhM5tohe4hCkcce0oXqw3ZvOxMnWg+KFKxgG
C008Nv617aM4cyShIZc0xfGZdVd5I7hclLNIxZ4WFrNgPFWZONlkiYCX3oSWcYKg2TTSJVF1k3ed
58OF1n12zQJ7sv5Qw1axBu7rWDyQKJv2HXa1S3XyVrJW3peeiMnQMxd++KnDSJI2r32Uz9PC/dTr
erJy2+qTUlibUPobauHntqNAatyAmi934c0ToGy63YI2zax2cyKNAswpKMOqheOndyGpm8teDMaz
IgkfdFA65gB3Vh2oU9AgN4Ff2osx0m7cWHnMh+E+j8ebsY9I163JlgSqPdcJrDnx6zgBOukQ+Gtl
zaLtss95M66d0d7UzKnxf9NNQTjLvqq/VowSHrVKEgt1bIp0q6ah0GiSjroHWLlm8GTZn9K23eJ9
eCET6AbQSTEvI7GJIgi6Oc3eGd3WeOnZkw4DUEjU1jeJPrK1Swm9NU5Bsb7GajKPtLVfW1uDSZ6W
y7O4K1h9kRaX5vlA5hzKTEH2o87Mz4CLaaB0WqDSD6G+SGVeGW7N1EcZZv8zGD2R2A3btMJ097Eg
zYYdGB2d9AGHXTZLc3qjfuVd6YG25dyES2YNuAYLiGa5bQPHyRp8qAqeHyQL139V0fqBYfzXknlx
qA/LoyXusnmRw9VLRaDpr3Su6V/3eZjVN/mf+6U37NePD/TLvweIdXG5fbOf+vVYx3f8s2Mkhzqs
m+cXeI76380J5MAwUT3+UP5C1/a//rPtMMMn60PH8nX8+cJU++Yc/dFZ+PkH/HI6f/47P/sAX87P
yfM//qZT7n7vRjy+p//kJEyhJpN8ioDQH5wEyFpIFOheORCtpp//VyeBpSOrp2uRnLzsnbVyqq7e
dS3+4BR8d4RvrgPx9+kD2upE7Tr+vL8O3IntCVcMuOfxh0YFr/dfdB0IpJL/5kk4PBO0vQirWoaf
az7mrzcDeD7HgGkKwez9pzf/TnfIsPW3k/Plgvtv+vQ0kT766YX196N6xsJ3+/Ydf7sU6JycifvM
Pvb4Q7Po370E/o0z9evSCsIleT4uquFL9aO1949+4W01+f2/f11JpuVi6kO8+8WboXj58tq/rbn/
fHeFHK/yb/7x7ao/vs7X//71A/7+pd+91tunevvLTfgiD/JzQHoR6/Hw9W1OOVT/+BstxYBW414e
nl+q4N3Nbk6k3t/e0D/+9u7tfrMQ/PT4VXVI3w4znRmhTcX1Rw9LUudBvh3muD67gpvpo4fdHORw
yA5vBzp+kzg80Xl9+MhhevgcHJIfnmmIsRNJ/Y+d8b+uuT871dsDnMBf/schLf7XL7sDjprw3RnS
TNaVj7/K7iAzdiXx+5NkoT7/C47NdZp8d2BjokJ/9NScHuIqODx3Ly/F28GO363N1ubtL6Zb7M9d
42eH52D48T30Zev00bd/8Rzy9t/e6PEuot3zF3yZ++a5+Ry8oEl5d/CJuf/2F3/+tOybLDp8ejvO
8V1/eXh+9HRcHaJDVaMlfXfsL4+mjx77Oozj8N2CRU/Q/Auu7ZtDGia/nB+em2/fNfF3Fg+4j77r
IwrjR0vL123rR49//1LVv8xeMtL+3t7s9H3qbGX/gnd/dmAxZ8Gq5btr3IB7/BesvOsm4uhswL6c
hOl92+zhhP4XPC/W+bt3PB0XO8PbS/35W4en8q9jvvPwc/6JGeBJNSUtVm8H//I5NI1sjbe/+sDr
Idz548eTqqnYNP6KhTIcc/l+O8Ch8Q66f8H3fIM6CXjt28mYzs/Xg/8Fd++PB7K/ey2GqG9/9+e/
jH8RqvnBXcLZJPhp3u8MVObSDIA//tbPXnz2OIfh+29hOvxfsJn8WQzNB0/LH47VuYZ491MWxkcX
0X+Jgv/gR5gH/xru/cGXOD5nfo5c+uAr/EubyAePf/PCKup/v8e3NHwd5jRd++iXfHp45vy8Hee4
SBsYEwTyCUFrAyUF0uS3f/7za8SP16M/IxD56fn8Ub35azvm91XoW7vtR//tfYk9/cbn5OUg//l/
AAAA//8=</cx:binary>
              </cx:geoCache>
            </cx:geography>
          </cx:layoutPr>
        </cx:series>
      </cx:plotAreaRegion>
    </cx:plotArea>
    <cx:legend pos="r" align="min"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496">
  <cs:axisTitle>
    <cs:lnRef idx="0"/>
    <cs:fillRef idx="0"/>
    <cs:effectRef idx="0"/>
    <cs:fontRef idx="minor">
      <a:schemeClr val="lt1">
        <a:lumMod val="95000"/>
      </a:schemeClr>
    </cs:fontRef>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solidFill>
        <a:schemeClr val="dk1">
          <a:lumMod val="65000"/>
          <a:lumOff val="35000"/>
        </a:schemeClr>
      </a:solidFill>
    </cs:spPr>
    <cs:defRPr sz="1000"/>
  </cs:chartArea>
  <cs:dataLabel>
    <cs:lnRef idx="0"/>
    <cs:fillRef idx="0"/>
    <cs:effectRef idx="0"/>
    <cs:fontRef idx="minor">
      <a:schemeClr val="lt1">
        <a:lumMod val="9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solidFill>
        <a:schemeClr val="phClr"/>
      </a:solidFill>
      <a:ln w="3175">
        <a:solidFill>
          <a:schemeClr val="dk1">
            <a:lumMod val="65000"/>
            <a:lumOff val="35000"/>
          </a:schemeClr>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400"/>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2.xml"/><Relationship Id="rId1" Type="http://schemas.microsoft.com/office/2014/relationships/chartEx" Target="../charts/chartEx1.xml"/></Relationships>
</file>

<file path=xl/drawings/drawing1.xml><?xml version="1.0" encoding="utf-8"?>
<xdr:wsDr xmlns:xdr="http://schemas.openxmlformats.org/drawingml/2006/spreadsheetDrawing" xmlns:a="http://schemas.openxmlformats.org/drawingml/2006/main">
  <xdr:twoCellAnchor>
    <xdr:from>
      <xdr:col>3</xdr:col>
      <xdr:colOff>1504950</xdr:colOff>
      <xdr:row>2</xdr:row>
      <xdr:rowOff>52387</xdr:rowOff>
    </xdr:from>
    <xdr:to>
      <xdr:col>11</xdr:col>
      <xdr:colOff>552450</xdr:colOff>
      <xdr:row>17</xdr:row>
      <xdr:rowOff>128587</xdr:rowOff>
    </xdr:to>
    <xdr:graphicFrame macro="">
      <xdr:nvGraphicFramePr>
        <xdr:cNvPr id="2" name="Chart 1">
          <a:extLst>
            <a:ext uri="{FF2B5EF4-FFF2-40B4-BE49-F238E27FC236}">
              <a16:creationId xmlns:a16="http://schemas.microsoft.com/office/drawing/2014/main" id="{F6D01150-D76C-CF95-06D2-7397A17121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absolute">
    <xdr:from>
      <xdr:col>2</xdr:col>
      <xdr:colOff>238125</xdr:colOff>
      <xdr:row>0</xdr:row>
      <xdr:rowOff>0</xdr:rowOff>
    </xdr:from>
    <xdr:to>
      <xdr:col>6</xdr:col>
      <xdr:colOff>87751</xdr:colOff>
      <xdr:row>12</xdr:row>
      <xdr:rowOff>171450</xdr:rowOff>
    </xdr:to>
    <mc:AlternateContent xmlns:mc="http://schemas.openxmlformats.org/markup-compatibility/2006" xmlns:sle15="http://schemas.microsoft.com/office/drawing/2012/slicer">
      <mc:Choice Requires="sle15">
        <xdr:graphicFrame macro="">
          <xdr:nvGraphicFramePr>
            <xdr:cNvPr id="2" name="state">
              <a:extLst>
                <a:ext uri="{FF2B5EF4-FFF2-40B4-BE49-F238E27FC236}">
                  <a16:creationId xmlns:a16="http://schemas.microsoft.com/office/drawing/2014/main" id="{9CCBDBC1-E024-53B5-A29D-FBAF6DA158EA}"/>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1885950" y="0"/>
              <a:ext cx="2288026" cy="1695450"/>
            </a:xfrm>
            <a:prstGeom prst="rect">
              <a:avLst/>
            </a:prstGeom>
            <a:solidFill>
              <a:prstClr val="white"/>
            </a:solidFill>
            <a:ln w="1">
              <a:solidFill>
                <a:prstClr val="green"/>
              </a:solidFill>
            </a:ln>
          </xdr:spPr>
          <xdr:txBody>
            <a:bodyPr vertOverflow="clip" horzOverflow="clip"/>
            <a:lstStyle/>
            <a:p>
              <a:r>
                <a:rPr lang="en-IN"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6</xdr:col>
      <xdr:colOff>504825</xdr:colOff>
      <xdr:row>0</xdr:row>
      <xdr:rowOff>95250</xdr:rowOff>
    </xdr:from>
    <xdr:to>
      <xdr:col>12</xdr:col>
      <xdr:colOff>409575</xdr:colOff>
      <xdr:row>17</xdr:row>
      <xdr:rowOff>104775</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EA91F7D6-B6B2-A413-6E11-1CA1D04C4F1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591050" y="95250"/>
              <a:ext cx="3562350" cy="2486025"/>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13</xdr:col>
      <xdr:colOff>76199</xdr:colOff>
      <xdr:row>0</xdr:row>
      <xdr:rowOff>0</xdr:rowOff>
    </xdr:from>
    <xdr:to>
      <xdr:col>17</xdr:col>
      <xdr:colOff>285748</xdr:colOff>
      <xdr:row>18</xdr:row>
      <xdr:rowOff>76200</xdr:rowOff>
    </xdr:to>
    <xdr:graphicFrame macro="">
      <xdr:nvGraphicFramePr>
        <xdr:cNvPr id="5" name="Chart 4">
          <a:extLst>
            <a:ext uri="{FF2B5EF4-FFF2-40B4-BE49-F238E27FC236}">
              <a16:creationId xmlns:a16="http://schemas.microsoft.com/office/drawing/2014/main" id="{49F7C950-8FB2-67FC-C9BA-9FB249935D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28B91DC0-80C8-45CD-95E4-2D6F4E97AB19}" sourceName="state">
  <extLst>
    <x:ext xmlns:x15="http://schemas.microsoft.com/office/spreadsheetml/2010/11/main" uri="{2F2917AC-EB37-4324-AD4E-5DD8C200BD13}">
      <x15:tableSlicerCache tableId="2" column="1"/>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e" xr10:uid="{B09F645A-8336-409F-A172-60C0DA693196}" cache="Slicer_state" caption="state" columnCount="2" rowHeight="28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F5150032-0159-4CA8-893D-099E996638F2}" name="Table5" displayName="Table5" ref="A1:P21" totalsRowShown="0" headerRowDxfId="29" dataDxfId="27" headerRowBorderDxfId="28" tableBorderDxfId="26" totalsRowBorderDxfId="25">
  <autoFilter ref="A1:P21" xr:uid="{F5150032-0159-4CA8-893D-099E996638F2}"/>
  <tableColumns count="16">
    <tableColumn id="1" xr3:uid="{C5CBFC98-8E7D-4C21-89E4-FAF15EA36526}" name="roll no" dataDxfId="24"/>
    <tableColumn id="2" xr3:uid="{90E1E575-36AE-4B57-9554-F810D22C4069}" name="name" dataDxfId="23"/>
    <tableColumn id="3" xr3:uid="{41CE8180-A4B3-4981-A46A-5797578CAEBC}" name="class" dataDxfId="22"/>
    <tableColumn id="4" xr3:uid="{4F43BF84-4F85-45AF-A5B7-BFD0B0B34915}" name="age" dataDxfId="21"/>
    <tableColumn id="5" xr3:uid="{723CA5DE-548C-4380-AD3E-C06E34485EB9}" name="math" dataDxfId="20"/>
    <tableColumn id="6" xr3:uid="{37F8BA1F-733A-4691-BF51-B91D7018745E}" name="science" dataDxfId="19">
      <calculatedColumnFormula>E2-5</calculatedColumnFormula>
    </tableColumn>
    <tableColumn id="7" xr3:uid="{CDC30C63-68AB-41E4-A290-A45A3E040F06}" name="marathi" dataDxfId="18">
      <calculatedColumnFormula>F2+10</calculatedColumnFormula>
    </tableColumn>
    <tableColumn id="8" xr3:uid="{BEE1DACA-0144-458E-B4DB-2E8FA27BD48F}" name="hindi" dataDxfId="17">
      <calculatedColumnFormula>G2-15</calculatedColumnFormula>
    </tableColumn>
    <tableColumn id="9" xr3:uid="{BBBCAECC-4D66-4109-B234-FD85295AFE78}" name="english" dataDxfId="16">
      <calculatedColumnFormula>E2+10</calculatedColumnFormula>
    </tableColumn>
    <tableColumn id="10" xr3:uid="{B96932F1-5DF6-40E6-82DD-186EBF3F6BDB}" name="total " dataDxfId="15">
      <calculatedColumnFormula>E2+F2+G2+H2+I2</calculatedColumnFormula>
    </tableColumn>
    <tableColumn id="11" xr3:uid="{ACBC5DBF-7793-4B03-BAEE-DA459C59102B}" name="percentage" dataDxfId="14">
      <calculatedColumnFormula>J2/5</calculatedColumnFormula>
    </tableColumn>
    <tableColumn id="12" xr3:uid="{86B97156-9599-4332-9136-4948BFDC7CA4}" name="max mark" dataDxfId="13">
      <calculatedColumnFormula>MAX(E2:I2)</calculatedColumnFormula>
    </tableColumn>
    <tableColumn id="13" xr3:uid="{59256C59-67E2-4019-929E-7A2B13AA2E2D}" name="min mark" dataDxfId="12">
      <calculatedColumnFormula>MIN(E2:I2)</calculatedColumnFormula>
    </tableColumn>
    <tableColumn id="14" xr3:uid="{87E2380E-FA60-4C28-B452-18BA6BEEB07B}" name="grade" dataDxfId="11">
      <calculatedColumnFormula>IF(K2&gt;=75,"A grade",IF(K2&gt;=60,"B grade",IF(K2&gt;=50,"C grade","Fail")))</calculatedColumnFormula>
    </tableColumn>
    <tableColumn id="15" xr3:uid="{AC83FF28-CE7B-48BB-BB92-5021D9540420}" name="pass/fail" dataDxfId="10">
      <calculatedColumnFormula>IF(K2&gt;=35,"pass","fail")</calculatedColumnFormula>
    </tableColumn>
    <tableColumn id="16" xr3:uid="{D4F53D51-E319-4A77-BCBF-62DC45AD5BB4}" name="rank" dataDxfId="9">
      <calculatedColumnFormula>RANK(K2,$K$2:$K$20,0)</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9B4D063-B7D8-4E47-8C86-D164EA8A7EDA}" name="Table6" displayName="Table6" ref="A1:E5" totalsRowShown="0">
  <autoFilter ref="A1:E5" xr:uid="{C9B4D063-B7D8-4E47-8C86-D164EA8A7EDA}"/>
  <tableColumns count="5">
    <tableColumn id="1" xr3:uid="{49C51BA5-B62E-40F7-85F4-4331E95A2AC7}" name="Timeline" dataDxfId="8"/>
    <tableColumn id="2" xr3:uid="{B8340230-C8E7-4489-9FB7-8C38F220FDCA}" name="Values"/>
    <tableColumn id="3" xr3:uid="{CA2197FD-54B9-44BE-ABAB-9BCC80299CC5}" name="Forecast"/>
    <tableColumn id="4" xr3:uid="{BE0ED526-ABE0-4DA3-B130-5A3417BAF8EE}" name="Lower Confidence Bound"/>
    <tableColumn id="5" xr3:uid="{6F90FA9C-79B9-4964-B299-CAEBB276AB66}" name="Upper Confidence Bound"/>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6AA5265-49D3-4EB4-80BD-70DACE080A45}" name="Table2" displayName="Table2" ref="A1:B9" totalsRowShown="0" headerRowDxfId="7" headerRowBorderDxfId="6" tableBorderDxfId="5" totalsRowBorderDxfId="4">
  <autoFilter ref="A1:B9" xr:uid="{C6AA5265-49D3-4EB4-80BD-70DACE080A45}">
    <filterColumn colId="0">
      <filters>
        <filter val="mp"/>
        <filter val="punjab"/>
        <filter val="rajasthan"/>
        <filter val="up"/>
      </filters>
    </filterColumn>
  </autoFilter>
  <tableColumns count="2">
    <tableColumn id="1" xr3:uid="{553CBF5C-1418-431F-8EFC-CA566146E442}" name="state" dataDxfId="3"/>
    <tableColumn id="2" xr3:uid="{A28E1ABC-9C4A-497C-9AAC-60EF532B1514}" name="population" dataDxfId="2"/>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3" Type="http://schemas.openxmlformats.org/officeDocument/2006/relationships/hyperlink" Target="mailto:ki.1002@gmail.com" TargetMode="External"/><Relationship Id="rId2" Type="http://schemas.openxmlformats.org/officeDocument/2006/relationships/hyperlink" Target="mailto:su.1001@gmail.com" TargetMode="External"/><Relationship Id="rId1" Type="http://schemas.openxmlformats.org/officeDocument/2006/relationships/hyperlink" Target="mailto:am.1000@gmail.com" TargetMode="External"/><Relationship Id="rId4" Type="http://schemas.openxmlformats.org/officeDocument/2006/relationships/hyperlink" Target="mailto:aj.1003@gmail.com" TargetMode="External"/></Relationships>
</file>

<file path=xl/worksheets/_rels/sheet5.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3.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8D599-A7FE-4CC9-A11D-3F1A2140DD8C}">
  <dimension ref="A1:F11"/>
  <sheetViews>
    <sheetView workbookViewId="0">
      <selection activeCell="F1" sqref="F1"/>
    </sheetView>
  </sheetViews>
  <sheetFormatPr defaultRowHeight="15" x14ac:dyDescent="0.25"/>
  <cols>
    <col min="6" max="6" width="12.140625" bestFit="1" customWidth="1"/>
  </cols>
  <sheetData>
    <row r="1" spans="1:6" x14ac:dyDescent="0.25">
      <c r="A1" s="3" t="s">
        <v>0</v>
      </c>
      <c r="B1" s="3" t="s">
        <v>1</v>
      </c>
      <c r="C1" s="3" t="s">
        <v>12</v>
      </c>
      <c r="D1" s="3" t="s">
        <v>13</v>
      </c>
      <c r="E1" s="3" t="s">
        <v>14</v>
      </c>
    </row>
    <row r="2" spans="1:6" x14ac:dyDescent="0.25">
      <c r="A2" s="2">
        <v>1</v>
      </c>
      <c r="B2" s="2" t="s">
        <v>2</v>
      </c>
      <c r="C2" s="2">
        <v>54414</v>
      </c>
      <c r="D2" s="2">
        <f>C2*5%</f>
        <v>2720.7000000000003</v>
      </c>
      <c r="E2" s="2">
        <f>C2+D2</f>
        <v>57134.7</v>
      </c>
      <c r="F2" s="1"/>
    </row>
    <row r="3" spans="1:6" x14ac:dyDescent="0.25">
      <c r="A3" s="2">
        <v>2</v>
      </c>
      <c r="B3" s="2" t="s">
        <v>3</v>
      </c>
      <c r="C3" s="2">
        <v>56821</v>
      </c>
      <c r="D3" s="2">
        <f t="shared" ref="D3:D11" si="0">C3*5%</f>
        <v>2841.05</v>
      </c>
      <c r="E3" s="2">
        <f t="shared" ref="E3:E11" si="1">C3+D3</f>
        <v>59662.05</v>
      </c>
    </row>
    <row r="4" spans="1:6" x14ac:dyDescent="0.25">
      <c r="A4" s="2">
        <v>3</v>
      </c>
      <c r="B4" s="2" t="s">
        <v>4</v>
      </c>
      <c r="C4" s="2">
        <v>54585</v>
      </c>
      <c r="D4" s="2">
        <f t="shared" si="0"/>
        <v>2729.25</v>
      </c>
      <c r="E4" s="2">
        <f t="shared" si="1"/>
        <v>57314.25</v>
      </c>
    </row>
    <row r="5" spans="1:6" x14ac:dyDescent="0.25">
      <c r="A5" s="2">
        <v>4</v>
      </c>
      <c r="B5" s="2" t="s">
        <v>5</v>
      </c>
      <c r="C5" s="2">
        <v>24551</v>
      </c>
      <c r="D5" s="2">
        <f t="shared" si="0"/>
        <v>1227.55</v>
      </c>
      <c r="E5" s="2">
        <f t="shared" si="1"/>
        <v>25778.55</v>
      </c>
    </row>
    <row r="6" spans="1:6" x14ac:dyDescent="0.25">
      <c r="A6" s="2">
        <v>5</v>
      </c>
      <c r="B6" s="2" t="s">
        <v>6</v>
      </c>
      <c r="C6" s="2">
        <v>55521</v>
      </c>
      <c r="D6" s="2">
        <f t="shared" si="0"/>
        <v>2776.05</v>
      </c>
      <c r="E6" s="2">
        <f t="shared" si="1"/>
        <v>58297.05</v>
      </c>
    </row>
    <row r="7" spans="1:6" x14ac:dyDescent="0.25">
      <c r="A7" s="2">
        <v>6</v>
      </c>
      <c r="B7" s="2" t="s">
        <v>7</v>
      </c>
      <c r="C7" s="2">
        <v>24562</v>
      </c>
      <c r="D7" s="2">
        <f t="shared" si="0"/>
        <v>1228.1000000000001</v>
      </c>
      <c r="E7" s="2">
        <f t="shared" si="1"/>
        <v>25790.1</v>
      </c>
    </row>
    <row r="8" spans="1:6" x14ac:dyDescent="0.25">
      <c r="A8" s="2">
        <v>7</v>
      </c>
      <c r="B8" s="2" t="s">
        <v>8</v>
      </c>
      <c r="C8" s="2">
        <v>25456</v>
      </c>
      <c r="D8" s="2">
        <f t="shared" si="0"/>
        <v>1272.8000000000002</v>
      </c>
      <c r="E8" s="2">
        <f t="shared" si="1"/>
        <v>26728.799999999999</v>
      </c>
    </row>
    <row r="9" spans="1:6" x14ac:dyDescent="0.25">
      <c r="A9" s="2">
        <v>8</v>
      </c>
      <c r="B9" s="2" t="s">
        <v>9</v>
      </c>
      <c r="C9" s="2">
        <v>24565</v>
      </c>
      <c r="D9" s="2">
        <f t="shared" si="0"/>
        <v>1228.25</v>
      </c>
      <c r="E9" s="2">
        <f t="shared" si="1"/>
        <v>25793.25</v>
      </c>
    </row>
    <row r="10" spans="1:6" x14ac:dyDescent="0.25">
      <c r="A10" s="2">
        <v>9</v>
      </c>
      <c r="B10" s="2" t="s">
        <v>10</v>
      </c>
      <c r="C10" s="2">
        <v>47895</v>
      </c>
      <c r="D10" s="2">
        <f t="shared" si="0"/>
        <v>2394.75</v>
      </c>
      <c r="E10" s="2">
        <f t="shared" si="1"/>
        <v>50289.75</v>
      </c>
    </row>
    <row r="11" spans="1:6" x14ac:dyDescent="0.25">
      <c r="A11" s="2">
        <v>10</v>
      </c>
      <c r="B11" s="2" t="s">
        <v>11</v>
      </c>
      <c r="C11" s="2">
        <v>56258</v>
      </c>
      <c r="D11" s="2">
        <f t="shared" si="0"/>
        <v>2812.9</v>
      </c>
      <c r="E11" s="2">
        <f t="shared" si="1"/>
        <v>59070.9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C8C223-A399-48A7-9A7C-C931DEEAE206}">
  <dimension ref="A1:P21"/>
  <sheetViews>
    <sheetView showGridLines="0" topLeftCell="C1" zoomScaleNormal="100" workbookViewId="0">
      <pane ySplit="1" topLeftCell="A5" activePane="bottomLeft" state="frozen"/>
      <selection activeCell="D1" sqref="D1"/>
      <selection pane="bottomLeft" activeCell="K2" sqref="K2"/>
    </sheetView>
  </sheetViews>
  <sheetFormatPr defaultRowHeight="15" x14ac:dyDescent="0.25"/>
  <cols>
    <col min="1" max="1" width="13.140625" customWidth="1"/>
    <col min="2" max="2" width="12.140625" customWidth="1"/>
    <col min="3" max="3" width="12.7109375" customWidth="1"/>
    <col min="4" max="4" width="10.42578125" customWidth="1"/>
    <col min="5" max="5" width="11.5703125" customWidth="1"/>
    <col min="6" max="6" width="13.7109375" customWidth="1"/>
    <col min="7" max="7" width="14.42578125" customWidth="1"/>
    <col min="8" max="8" width="12.28515625" customWidth="1"/>
    <col min="9" max="9" width="13.42578125" customWidth="1"/>
    <col min="11" max="11" width="12.85546875" customWidth="1"/>
    <col min="12" max="12" width="11.85546875" customWidth="1"/>
    <col min="13" max="13" width="11.5703125" customWidth="1"/>
    <col min="15" max="15" width="11" customWidth="1"/>
  </cols>
  <sheetData>
    <row r="1" spans="1:16" x14ac:dyDescent="0.25">
      <c r="A1" s="16" t="s">
        <v>15</v>
      </c>
      <c r="B1" s="17" t="s">
        <v>1</v>
      </c>
      <c r="C1" s="17" t="s">
        <v>16</v>
      </c>
      <c r="D1" s="17" t="s">
        <v>17</v>
      </c>
      <c r="E1" s="17" t="s">
        <v>18</v>
      </c>
      <c r="F1" s="17" t="s">
        <v>19</v>
      </c>
      <c r="G1" s="17" t="s">
        <v>20</v>
      </c>
      <c r="H1" s="17" t="s">
        <v>21</v>
      </c>
      <c r="I1" s="17" t="s">
        <v>22</v>
      </c>
      <c r="J1" s="17" t="s">
        <v>23</v>
      </c>
      <c r="K1" s="17" t="s">
        <v>24</v>
      </c>
      <c r="L1" s="17" t="s">
        <v>45</v>
      </c>
      <c r="M1" s="17" t="s">
        <v>46</v>
      </c>
      <c r="N1" s="17" t="s">
        <v>44</v>
      </c>
      <c r="O1" s="17" t="s">
        <v>47</v>
      </c>
      <c r="P1" s="18" t="s">
        <v>48</v>
      </c>
    </row>
    <row r="2" spans="1:16" x14ac:dyDescent="0.25">
      <c r="A2" s="8">
        <v>1</v>
      </c>
      <c r="B2" s="2" t="s">
        <v>25</v>
      </c>
      <c r="C2" s="2">
        <v>10</v>
      </c>
      <c r="D2" s="2">
        <v>16</v>
      </c>
      <c r="E2" s="2">
        <v>65</v>
      </c>
      <c r="F2" s="2">
        <f>E2-5</f>
        <v>60</v>
      </c>
      <c r="G2" s="2">
        <f>F2+10</f>
        <v>70</v>
      </c>
      <c r="H2" s="2">
        <f>G2-15</f>
        <v>55</v>
      </c>
      <c r="I2" s="2">
        <f>E2+10</f>
        <v>75</v>
      </c>
      <c r="J2" s="2">
        <f>E2+F2+G2+H2+I2</f>
        <v>325</v>
      </c>
      <c r="K2" s="23">
        <f>J2/5</f>
        <v>65</v>
      </c>
      <c r="L2" s="2">
        <f>MAX(E2:I2)</f>
        <v>75</v>
      </c>
      <c r="M2" s="2">
        <f>MIN(E2:I2)</f>
        <v>55</v>
      </c>
      <c r="N2" s="2" t="str">
        <f>IF(K2&gt;=75,"A grade",IF(K2&gt;=60,"B grade",IF(K2&gt;=50,"C grade","Fail")))</f>
        <v>B grade</v>
      </c>
      <c r="O2" s="2" t="str">
        <f>IF(K2&gt;=35,"pass","fail")</f>
        <v>pass</v>
      </c>
      <c r="P2" s="9">
        <f t="shared" ref="P2:P21" si="0">RANK(K2,$K$2:$K$20,0)</f>
        <v>6</v>
      </c>
    </row>
    <row r="3" spans="1:16" x14ac:dyDescent="0.25">
      <c r="A3" s="8">
        <v>2</v>
      </c>
      <c r="B3" s="2" t="s">
        <v>26</v>
      </c>
      <c r="C3" s="2">
        <v>10</v>
      </c>
      <c r="D3" s="2">
        <v>16</v>
      </c>
      <c r="E3" s="2">
        <v>35</v>
      </c>
      <c r="F3" s="2">
        <f t="shared" ref="F3:F21" si="1">E3-5</f>
        <v>30</v>
      </c>
      <c r="G3" s="2">
        <f t="shared" ref="G3:G21" si="2">F3+10</f>
        <v>40</v>
      </c>
      <c r="H3" s="2">
        <f t="shared" ref="H3:H21" si="3">G3-15</f>
        <v>25</v>
      </c>
      <c r="I3" s="2">
        <f t="shared" ref="I3:I21" si="4">E3+10</f>
        <v>45</v>
      </c>
      <c r="J3" s="2">
        <f t="shared" ref="J3:J20" si="5">E3+F3+G3+H3+I3</f>
        <v>175</v>
      </c>
      <c r="K3" s="2">
        <f t="shared" ref="K3:K21" si="6">J3/5</f>
        <v>35</v>
      </c>
      <c r="L3" s="2">
        <f t="shared" ref="L3:L21" si="7">MAX(E3:I3)</f>
        <v>45</v>
      </c>
      <c r="M3" s="2">
        <f t="shared" ref="M3:M20" si="8">MIN(E3:I3)</f>
        <v>25</v>
      </c>
      <c r="N3" s="2" t="str">
        <f t="shared" ref="N3:N21" si="9">IF(K3&gt;=75,"A grade",IF(K3&gt;=60,"B grade",IF(K3&gt;=50,"C grade","Fail")))</f>
        <v>Fail</v>
      </c>
      <c r="O3" s="2" t="str">
        <f t="shared" ref="O3:O21" si="10">IF(K3&gt;=35,"pass","fail")</f>
        <v>pass</v>
      </c>
      <c r="P3" s="9">
        <f t="shared" si="0"/>
        <v>14</v>
      </c>
    </row>
    <row r="4" spans="1:16" x14ac:dyDescent="0.25">
      <c r="A4" s="8">
        <v>3</v>
      </c>
      <c r="B4" s="2" t="s">
        <v>27</v>
      </c>
      <c r="C4" s="2">
        <v>10</v>
      </c>
      <c r="D4" s="2">
        <v>16</v>
      </c>
      <c r="E4" s="2">
        <v>58</v>
      </c>
      <c r="F4" s="2">
        <f t="shared" si="1"/>
        <v>53</v>
      </c>
      <c r="G4" s="2">
        <f t="shared" si="2"/>
        <v>63</v>
      </c>
      <c r="H4" s="2">
        <f t="shared" si="3"/>
        <v>48</v>
      </c>
      <c r="I4" s="2">
        <f t="shared" si="4"/>
        <v>68</v>
      </c>
      <c r="J4" s="2">
        <f t="shared" si="5"/>
        <v>290</v>
      </c>
      <c r="K4" s="2">
        <f t="shared" si="6"/>
        <v>58</v>
      </c>
      <c r="L4" s="2">
        <f t="shared" si="7"/>
        <v>68</v>
      </c>
      <c r="M4" s="2">
        <f t="shared" si="8"/>
        <v>48</v>
      </c>
      <c r="N4" s="2" t="str">
        <f t="shared" si="9"/>
        <v>C grade</v>
      </c>
      <c r="O4" s="2" t="str">
        <f t="shared" si="10"/>
        <v>pass</v>
      </c>
      <c r="P4" s="9">
        <f t="shared" si="0"/>
        <v>7</v>
      </c>
    </row>
    <row r="5" spans="1:16" x14ac:dyDescent="0.25">
      <c r="A5" s="8">
        <v>4</v>
      </c>
      <c r="B5" s="2" t="s">
        <v>28</v>
      </c>
      <c r="C5" s="2">
        <v>10</v>
      </c>
      <c r="D5" s="2">
        <v>16</v>
      </c>
      <c r="E5" s="2">
        <v>89</v>
      </c>
      <c r="F5" s="2">
        <f t="shared" si="1"/>
        <v>84</v>
      </c>
      <c r="G5" s="2">
        <f t="shared" si="2"/>
        <v>94</v>
      </c>
      <c r="H5" s="2">
        <f t="shared" si="3"/>
        <v>79</v>
      </c>
      <c r="I5" s="2">
        <f t="shared" si="4"/>
        <v>99</v>
      </c>
      <c r="J5" s="2">
        <f t="shared" si="5"/>
        <v>445</v>
      </c>
      <c r="K5" s="2">
        <f t="shared" si="6"/>
        <v>89</v>
      </c>
      <c r="L5" s="2">
        <f t="shared" si="7"/>
        <v>99</v>
      </c>
      <c r="M5" s="2">
        <f t="shared" si="8"/>
        <v>79</v>
      </c>
      <c r="N5" s="2" t="str">
        <f t="shared" si="9"/>
        <v>A grade</v>
      </c>
      <c r="O5" s="2" t="str">
        <f t="shared" si="10"/>
        <v>pass</v>
      </c>
      <c r="P5" s="9">
        <f t="shared" si="0"/>
        <v>1</v>
      </c>
    </row>
    <row r="6" spans="1:16" x14ac:dyDescent="0.25">
      <c r="A6" s="8">
        <v>5</v>
      </c>
      <c r="B6" s="2" t="s">
        <v>29</v>
      </c>
      <c r="C6" s="2">
        <v>10</v>
      </c>
      <c r="D6" s="2">
        <v>16</v>
      </c>
      <c r="E6" s="2">
        <v>24</v>
      </c>
      <c r="F6" s="2">
        <f t="shared" si="1"/>
        <v>19</v>
      </c>
      <c r="G6" s="2">
        <f t="shared" si="2"/>
        <v>29</v>
      </c>
      <c r="H6" s="2">
        <f t="shared" si="3"/>
        <v>14</v>
      </c>
      <c r="I6" s="2">
        <f t="shared" si="4"/>
        <v>34</v>
      </c>
      <c r="J6" s="2">
        <f t="shared" si="5"/>
        <v>120</v>
      </c>
      <c r="K6" s="2">
        <f t="shared" si="6"/>
        <v>24</v>
      </c>
      <c r="L6" s="2">
        <f t="shared" si="7"/>
        <v>34</v>
      </c>
      <c r="M6" s="2">
        <f t="shared" si="8"/>
        <v>14</v>
      </c>
      <c r="N6" s="2" t="str">
        <f t="shared" si="9"/>
        <v>Fail</v>
      </c>
      <c r="O6" s="2" t="str">
        <f t="shared" si="10"/>
        <v>fail</v>
      </c>
      <c r="P6" s="9">
        <f t="shared" si="0"/>
        <v>16</v>
      </c>
    </row>
    <row r="7" spans="1:16" x14ac:dyDescent="0.25">
      <c r="A7" s="8">
        <v>6</v>
      </c>
      <c r="B7" s="2" t="s">
        <v>30</v>
      </c>
      <c r="C7" s="2">
        <v>10</v>
      </c>
      <c r="D7" s="2">
        <v>16</v>
      </c>
      <c r="E7" s="2">
        <v>28</v>
      </c>
      <c r="F7" s="2">
        <f t="shared" si="1"/>
        <v>23</v>
      </c>
      <c r="G7" s="2">
        <f t="shared" si="2"/>
        <v>33</v>
      </c>
      <c r="H7" s="2">
        <f t="shared" si="3"/>
        <v>18</v>
      </c>
      <c r="I7" s="2">
        <f t="shared" si="4"/>
        <v>38</v>
      </c>
      <c r="J7" s="2">
        <f t="shared" si="5"/>
        <v>140</v>
      </c>
      <c r="K7" s="2">
        <f t="shared" si="6"/>
        <v>28</v>
      </c>
      <c r="L7" s="2">
        <f t="shared" si="7"/>
        <v>38</v>
      </c>
      <c r="M7" s="2">
        <f t="shared" si="8"/>
        <v>18</v>
      </c>
      <c r="N7" s="2" t="str">
        <f t="shared" si="9"/>
        <v>Fail</v>
      </c>
      <c r="O7" s="2" t="str">
        <f t="shared" si="10"/>
        <v>fail</v>
      </c>
      <c r="P7" s="9">
        <f t="shared" si="0"/>
        <v>15</v>
      </c>
    </row>
    <row r="8" spans="1:16" x14ac:dyDescent="0.25">
      <c r="A8" s="8">
        <v>7</v>
      </c>
      <c r="B8" s="2" t="s">
        <v>31</v>
      </c>
      <c r="C8" s="2">
        <v>10</v>
      </c>
      <c r="D8" s="2">
        <v>16</v>
      </c>
      <c r="E8" s="2">
        <v>86</v>
      </c>
      <c r="F8" s="2">
        <f t="shared" si="1"/>
        <v>81</v>
      </c>
      <c r="G8" s="2">
        <f t="shared" si="2"/>
        <v>91</v>
      </c>
      <c r="H8" s="2">
        <f t="shared" si="3"/>
        <v>76</v>
      </c>
      <c r="I8" s="2">
        <f t="shared" si="4"/>
        <v>96</v>
      </c>
      <c r="J8" s="2">
        <f t="shared" si="5"/>
        <v>430</v>
      </c>
      <c r="K8" s="2">
        <f t="shared" si="6"/>
        <v>86</v>
      </c>
      <c r="L8" s="2">
        <f t="shared" si="7"/>
        <v>96</v>
      </c>
      <c r="M8" s="2">
        <f t="shared" si="8"/>
        <v>76</v>
      </c>
      <c r="N8" s="2" t="str">
        <f t="shared" si="9"/>
        <v>A grade</v>
      </c>
      <c r="O8" s="2" t="str">
        <f t="shared" si="10"/>
        <v>pass</v>
      </c>
      <c r="P8" s="9">
        <f t="shared" si="0"/>
        <v>3</v>
      </c>
    </row>
    <row r="9" spans="1:16" x14ac:dyDescent="0.25">
      <c r="A9" s="8">
        <v>8</v>
      </c>
      <c r="B9" s="2" t="s">
        <v>32</v>
      </c>
      <c r="C9" s="2">
        <v>10</v>
      </c>
      <c r="D9" s="2">
        <v>16</v>
      </c>
      <c r="E9" s="2">
        <v>24</v>
      </c>
      <c r="F9" s="2">
        <f t="shared" si="1"/>
        <v>19</v>
      </c>
      <c r="G9" s="2">
        <f t="shared" si="2"/>
        <v>29</v>
      </c>
      <c r="H9" s="2">
        <f t="shared" si="3"/>
        <v>14</v>
      </c>
      <c r="I9" s="2">
        <f t="shared" si="4"/>
        <v>34</v>
      </c>
      <c r="J9" s="2">
        <f t="shared" si="5"/>
        <v>120</v>
      </c>
      <c r="K9" s="2">
        <f t="shared" si="6"/>
        <v>24</v>
      </c>
      <c r="L9" s="2">
        <f t="shared" si="7"/>
        <v>34</v>
      </c>
      <c r="M9" s="2">
        <f t="shared" si="8"/>
        <v>14</v>
      </c>
      <c r="N9" s="2" t="str">
        <f t="shared" si="9"/>
        <v>Fail</v>
      </c>
      <c r="O9" s="2" t="str">
        <f t="shared" si="10"/>
        <v>fail</v>
      </c>
      <c r="P9" s="9">
        <f t="shared" si="0"/>
        <v>16</v>
      </c>
    </row>
    <row r="10" spans="1:16" x14ac:dyDescent="0.25">
      <c r="A10" s="8">
        <v>9</v>
      </c>
      <c r="B10" s="2" t="s">
        <v>33</v>
      </c>
      <c r="C10" s="2">
        <v>10</v>
      </c>
      <c r="D10" s="2">
        <v>16</v>
      </c>
      <c r="E10" s="2">
        <v>84</v>
      </c>
      <c r="F10" s="2">
        <f t="shared" si="1"/>
        <v>79</v>
      </c>
      <c r="G10" s="2">
        <f t="shared" si="2"/>
        <v>89</v>
      </c>
      <c r="H10" s="2">
        <f t="shared" si="3"/>
        <v>74</v>
      </c>
      <c r="I10" s="2">
        <f t="shared" si="4"/>
        <v>94</v>
      </c>
      <c r="J10" s="2">
        <f t="shared" si="5"/>
        <v>420</v>
      </c>
      <c r="K10" s="2">
        <f t="shared" si="6"/>
        <v>84</v>
      </c>
      <c r="L10" s="2">
        <f t="shared" si="7"/>
        <v>94</v>
      </c>
      <c r="M10" s="2">
        <f t="shared" si="8"/>
        <v>74</v>
      </c>
      <c r="N10" s="2" t="str">
        <f t="shared" si="9"/>
        <v>A grade</v>
      </c>
      <c r="O10" s="2" t="str">
        <f t="shared" si="10"/>
        <v>pass</v>
      </c>
      <c r="P10" s="9">
        <f t="shared" si="0"/>
        <v>4</v>
      </c>
    </row>
    <row r="11" spans="1:16" x14ac:dyDescent="0.25">
      <c r="A11" s="8">
        <v>10</v>
      </c>
      <c r="B11" s="2" t="s">
        <v>34</v>
      </c>
      <c r="C11" s="2">
        <v>10</v>
      </c>
      <c r="D11" s="2">
        <v>16</v>
      </c>
      <c r="E11" s="2">
        <v>24</v>
      </c>
      <c r="F11" s="2">
        <f t="shared" si="1"/>
        <v>19</v>
      </c>
      <c r="G11" s="2">
        <f t="shared" si="2"/>
        <v>29</v>
      </c>
      <c r="H11" s="2">
        <f t="shared" si="3"/>
        <v>14</v>
      </c>
      <c r="I11" s="2">
        <f t="shared" si="4"/>
        <v>34</v>
      </c>
      <c r="J11" s="2">
        <f t="shared" si="5"/>
        <v>120</v>
      </c>
      <c r="K11" s="2">
        <f t="shared" si="6"/>
        <v>24</v>
      </c>
      <c r="L11" s="2">
        <f t="shared" si="7"/>
        <v>34</v>
      </c>
      <c r="M11" s="2">
        <f t="shared" si="8"/>
        <v>14</v>
      </c>
      <c r="N11" s="2" t="str">
        <f t="shared" si="9"/>
        <v>Fail</v>
      </c>
      <c r="O11" s="2" t="str">
        <f t="shared" si="10"/>
        <v>fail</v>
      </c>
      <c r="P11" s="9">
        <f t="shared" si="0"/>
        <v>16</v>
      </c>
    </row>
    <row r="12" spans="1:16" x14ac:dyDescent="0.25">
      <c r="A12" s="8">
        <v>11</v>
      </c>
      <c r="B12" s="2" t="s">
        <v>35</v>
      </c>
      <c r="C12" s="2">
        <v>10</v>
      </c>
      <c r="D12" s="2">
        <v>16</v>
      </c>
      <c r="E12" s="2">
        <v>88</v>
      </c>
      <c r="F12" s="2">
        <f t="shared" si="1"/>
        <v>83</v>
      </c>
      <c r="G12" s="2">
        <f t="shared" si="2"/>
        <v>93</v>
      </c>
      <c r="H12" s="2">
        <f t="shared" si="3"/>
        <v>78</v>
      </c>
      <c r="I12" s="2">
        <f t="shared" si="4"/>
        <v>98</v>
      </c>
      <c r="J12" s="2">
        <f t="shared" si="5"/>
        <v>440</v>
      </c>
      <c r="K12" s="2">
        <f t="shared" si="6"/>
        <v>88</v>
      </c>
      <c r="L12" s="2">
        <f t="shared" si="7"/>
        <v>98</v>
      </c>
      <c r="M12" s="2">
        <f t="shared" si="8"/>
        <v>78</v>
      </c>
      <c r="N12" s="2" t="str">
        <f t="shared" si="9"/>
        <v>A grade</v>
      </c>
      <c r="O12" s="2" t="str">
        <f t="shared" si="10"/>
        <v>pass</v>
      </c>
      <c r="P12" s="9">
        <f t="shared" si="0"/>
        <v>2</v>
      </c>
    </row>
    <row r="13" spans="1:16" x14ac:dyDescent="0.25">
      <c r="A13" s="8">
        <v>12</v>
      </c>
      <c r="B13" s="2" t="s">
        <v>2</v>
      </c>
      <c r="C13" s="2">
        <v>10</v>
      </c>
      <c r="D13" s="2">
        <v>16</v>
      </c>
      <c r="E13" s="2">
        <v>58</v>
      </c>
      <c r="F13" s="2">
        <f t="shared" si="1"/>
        <v>53</v>
      </c>
      <c r="G13" s="2">
        <f t="shared" si="2"/>
        <v>63</v>
      </c>
      <c r="H13" s="2">
        <f t="shared" si="3"/>
        <v>48</v>
      </c>
      <c r="I13" s="2">
        <f t="shared" si="4"/>
        <v>68</v>
      </c>
      <c r="J13" s="2">
        <f t="shared" si="5"/>
        <v>290</v>
      </c>
      <c r="K13" s="2">
        <f t="shared" si="6"/>
        <v>58</v>
      </c>
      <c r="L13" s="2">
        <f t="shared" si="7"/>
        <v>68</v>
      </c>
      <c r="M13" s="2">
        <f t="shared" si="8"/>
        <v>48</v>
      </c>
      <c r="N13" s="2" t="str">
        <f t="shared" si="9"/>
        <v>C grade</v>
      </c>
      <c r="O13" s="2" t="str">
        <f t="shared" si="10"/>
        <v>pass</v>
      </c>
      <c r="P13" s="9">
        <f t="shared" si="0"/>
        <v>7</v>
      </c>
    </row>
    <row r="14" spans="1:16" x14ac:dyDescent="0.25">
      <c r="A14" s="8">
        <v>13</v>
      </c>
      <c r="B14" s="2" t="s">
        <v>36</v>
      </c>
      <c r="C14" s="2">
        <v>10</v>
      </c>
      <c r="D14" s="2">
        <v>16</v>
      </c>
      <c r="E14" s="2">
        <v>56</v>
      </c>
      <c r="F14" s="2">
        <f t="shared" si="1"/>
        <v>51</v>
      </c>
      <c r="G14" s="2">
        <f t="shared" si="2"/>
        <v>61</v>
      </c>
      <c r="H14" s="2">
        <f t="shared" si="3"/>
        <v>46</v>
      </c>
      <c r="I14" s="2">
        <f t="shared" si="4"/>
        <v>66</v>
      </c>
      <c r="J14" s="2">
        <f t="shared" si="5"/>
        <v>280</v>
      </c>
      <c r="K14" s="2">
        <f t="shared" si="6"/>
        <v>56</v>
      </c>
      <c r="L14" s="2">
        <f t="shared" si="7"/>
        <v>66</v>
      </c>
      <c r="M14" s="2">
        <f t="shared" si="8"/>
        <v>46</v>
      </c>
      <c r="N14" s="2" t="str">
        <f t="shared" si="9"/>
        <v>C grade</v>
      </c>
      <c r="O14" s="2" t="str">
        <f t="shared" si="10"/>
        <v>pass</v>
      </c>
      <c r="P14" s="9">
        <f t="shared" si="0"/>
        <v>11</v>
      </c>
    </row>
    <row r="15" spans="1:16" x14ac:dyDescent="0.25">
      <c r="A15" s="8">
        <v>14</v>
      </c>
      <c r="B15" s="2" t="s">
        <v>37</v>
      </c>
      <c r="C15" s="2">
        <v>10</v>
      </c>
      <c r="D15" s="2">
        <v>16</v>
      </c>
      <c r="E15" s="2">
        <v>68</v>
      </c>
      <c r="F15" s="2">
        <f t="shared" si="1"/>
        <v>63</v>
      </c>
      <c r="G15" s="2">
        <f t="shared" si="2"/>
        <v>73</v>
      </c>
      <c r="H15" s="2">
        <f t="shared" si="3"/>
        <v>58</v>
      </c>
      <c r="I15" s="2">
        <f t="shared" si="4"/>
        <v>78</v>
      </c>
      <c r="J15" s="2">
        <f t="shared" si="5"/>
        <v>340</v>
      </c>
      <c r="K15" s="2">
        <f t="shared" si="6"/>
        <v>68</v>
      </c>
      <c r="L15" s="2">
        <f t="shared" si="7"/>
        <v>78</v>
      </c>
      <c r="M15" s="2">
        <f t="shared" si="8"/>
        <v>58</v>
      </c>
      <c r="N15" s="2" t="str">
        <f t="shared" si="9"/>
        <v>B grade</v>
      </c>
      <c r="O15" s="2" t="str">
        <f t="shared" si="10"/>
        <v>pass</v>
      </c>
      <c r="P15" s="9">
        <f t="shared" si="0"/>
        <v>5</v>
      </c>
    </row>
    <row r="16" spans="1:16" x14ac:dyDescent="0.25">
      <c r="A16" s="8">
        <v>15</v>
      </c>
      <c r="B16" s="2" t="s">
        <v>38</v>
      </c>
      <c r="C16" s="2">
        <v>10</v>
      </c>
      <c r="D16" s="2">
        <v>16</v>
      </c>
      <c r="E16" s="2">
        <v>55</v>
      </c>
      <c r="F16" s="2">
        <f t="shared" si="1"/>
        <v>50</v>
      </c>
      <c r="G16" s="2">
        <f>F16+10</f>
        <v>60</v>
      </c>
      <c r="H16" s="2">
        <f t="shared" si="3"/>
        <v>45</v>
      </c>
      <c r="I16" s="2">
        <f t="shared" si="4"/>
        <v>65</v>
      </c>
      <c r="J16" s="2">
        <f t="shared" si="5"/>
        <v>275</v>
      </c>
      <c r="K16" s="2">
        <f t="shared" si="6"/>
        <v>55</v>
      </c>
      <c r="L16" s="2">
        <f t="shared" si="7"/>
        <v>65</v>
      </c>
      <c r="M16" s="2">
        <f t="shared" si="8"/>
        <v>45</v>
      </c>
      <c r="N16" s="2" t="str">
        <f t="shared" si="9"/>
        <v>C grade</v>
      </c>
      <c r="O16" s="2" t="str">
        <f t="shared" si="10"/>
        <v>pass</v>
      </c>
      <c r="P16" s="9">
        <f t="shared" si="0"/>
        <v>12</v>
      </c>
    </row>
    <row r="17" spans="1:16" x14ac:dyDescent="0.25">
      <c r="A17" s="8">
        <v>16</v>
      </c>
      <c r="B17" s="2" t="s">
        <v>39</v>
      </c>
      <c r="C17" s="2">
        <v>10</v>
      </c>
      <c r="D17" s="2">
        <v>16</v>
      </c>
      <c r="E17" s="2">
        <v>24</v>
      </c>
      <c r="F17" s="2">
        <f t="shared" si="1"/>
        <v>19</v>
      </c>
      <c r="G17" s="2">
        <f t="shared" si="2"/>
        <v>29</v>
      </c>
      <c r="H17" s="2">
        <f t="shared" si="3"/>
        <v>14</v>
      </c>
      <c r="I17" s="2">
        <f t="shared" si="4"/>
        <v>34</v>
      </c>
      <c r="J17" s="2">
        <f t="shared" si="5"/>
        <v>120</v>
      </c>
      <c r="K17" s="2">
        <f t="shared" si="6"/>
        <v>24</v>
      </c>
      <c r="L17" s="2">
        <f t="shared" si="7"/>
        <v>34</v>
      </c>
      <c r="M17" s="2">
        <f t="shared" si="8"/>
        <v>14</v>
      </c>
      <c r="N17" s="2" t="str">
        <f t="shared" si="9"/>
        <v>Fail</v>
      </c>
      <c r="O17" s="2" t="str">
        <f t="shared" si="10"/>
        <v>fail</v>
      </c>
      <c r="P17" s="9">
        <f t="shared" si="0"/>
        <v>16</v>
      </c>
    </row>
    <row r="18" spans="1:16" x14ac:dyDescent="0.25">
      <c r="A18" s="8">
        <v>17</v>
      </c>
      <c r="B18" s="2" t="s">
        <v>40</v>
      </c>
      <c r="C18" s="2">
        <v>10</v>
      </c>
      <c r="D18" s="2">
        <v>16</v>
      </c>
      <c r="E18" s="2">
        <v>58</v>
      </c>
      <c r="F18" s="2">
        <f t="shared" si="1"/>
        <v>53</v>
      </c>
      <c r="G18" s="2">
        <f t="shared" si="2"/>
        <v>63</v>
      </c>
      <c r="H18" s="2">
        <f t="shared" si="3"/>
        <v>48</v>
      </c>
      <c r="I18" s="2">
        <f t="shared" si="4"/>
        <v>68</v>
      </c>
      <c r="J18" s="2">
        <f t="shared" si="5"/>
        <v>290</v>
      </c>
      <c r="K18" s="2">
        <f t="shared" si="6"/>
        <v>58</v>
      </c>
      <c r="L18" s="2">
        <f t="shared" si="7"/>
        <v>68</v>
      </c>
      <c r="M18" s="2">
        <f t="shared" si="8"/>
        <v>48</v>
      </c>
      <c r="N18" s="2" t="str">
        <f t="shared" si="9"/>
        <v>C grade</v>
      </c>
      <c r="O18" s="2" t="str">
        <f t="shared" si="10"/>
        <v>pass</v>
      </c>
      <c r="P18" s="9">
        <f t="shared" si="0"/>
        <v>7</v>
      </c>
    </row>
    <row r="19" spans="1:16" x14ac:dyDescent="0.25">
      <c r="A19" s="8">
        <v>18</v>
      </c>
      <c r="B19" s="2" t="s">
        <v>41</v>
      </c>
      <c r="C19" s="2">
        <v>10</v>
      </c>
      <c r="D19" s="2">
        <v>16</v>
      </c>
      <c r="E19" s="2">
        <v>54</v>
      </c>
      <c r="F19" s="2">
        <f>E19-5</f>
        <v>49</v>
      </c>
      <c r="G19" s="2">
        <f t="shared" si="2"/>
        <v>59</v>
      </c>
      <c r="H19" s="2">
        <f t="shared" si="3"/>
        <v>44</v>
      </c>
      <c r="I19" s="2">
        <f t="shared" si="4"/>
        <v>64</v>
      </c>
      <c r="J19" s="2">
        <f t="shared" si="5"/>
        <v>270</v>
      </c>
      <c r="K19" s="2">
        <f t="shared" si="6"/>
        <v>54</v>
      </c>
      <c r="L19" s="2">
        <f t="shared" si="7"/>
        <v>64</v>
      </c>
      <c r="M19" s="2">
        <f t="shared" si="8"/>
        <v>44</v>
      </c>
      <c r="N19" s="2" t="str">
        <f t="shared" si="9"/>
        <v>C grade</v>
      </c>
      <c r="O19" s="2" t="str">
        <f t="shared" si="10"/>
        <v>pass</v>
      </c>
      <c r="P19" s="9">
        <f t="shared" si="0"/>
        <v>13</v>
      </c>
    </row>
    <row r="20" spans="1:16" x14ac:dyDescent="0.25">
      <c r="A20" s="8">
        <v>19</v>
      </c>
      <c r="B20" s="2" t="s">
        <v>42</v>
      </c>
      <c r="C20" s="2">
        <v>10</v>
      </c>
      <c r="D20" s="2">
        <v>16</v>
      </c>
      <c r="E20" s="2">
        <v>58</v>
      </c>
      <c r="F20" s="2">
        <f t="shared" si="1"/>
        <v>53</v>
      </c>
      <c r="G20" s="2">
        <f t="shared" si="2"/>
        <v>63</v>
      </c>
      <c r="H20" s="2">
        <f t="shared" si="3"/>
        <v>48</v>
      </c>
      <c r="I20" s="2">
        <f t="shared" si="4"/>
        <v>68</v>
      </c>
      <c r="J20" s="2">
        <f t="shared" si="5"/>
        <v>290</v>
      </c>
      <c r="K20" s="2">
        <f>J20/5</f>
        <v>58</v>
      </c>
      <c r="L20" s="2">
        <f t="shared" si="7"/>
        <v>68</v>
      </c>
      <c r="M20" s="2">
        <f t="shared" si="8"/>
        <v>48</v>
      </c>
      <c r="N20" s="2" t="str">
        <f t="shared" si="9"/>
        <v>C grade</v>
      </c>
      <c r="O20" s="2" t="str">
        <f t="shared" si="10"/>
        <v>pass</v>
      </c>
      <c r="P20" s="9">
        <f t="shared" si="0"/>
        <v>7</v>
      </c>
    </row>
    <row r="21" spans="1:16" x14ac:dyDescent="0.25">
      <c r="A21" s="10">
        <v>20</v>
      </c>
      <c r="B21" s="11" t="s">
        <v>43</v>
      </c>
      <c r="C21" s="11">
        <v>10</v>
      </c>
      <c r="D21" s="11">
        <v>16</v>
      </c>
      <c r="E21" s="11">
        <v>87</v>
      </c>
      <c r="F21" s="11">
        <f t="shared" si="1"/>
        <v>82</v>
      </c>
      <c r="G21" s="11">
        <f t="shared" si="2"/>
        <v>92</v>
      </c>
      <c r="H21" s="11">
        <f t="shared" si="3"/>
        <v>77</v>
      </c>
      <c r="I21" s="11">
        <f t="shared" si="4"/>
        <v>97</v>
      </c>
      <c r="J21" s="11">
        <f>E21+F21+G21+H21+I21</f>
        <v>435</v>
      </c>
      <c r="K21" s="11">
        <f t="shared" si="6"/>
        <v>87</v>
      </c>
      <c r="L21" s="11">
        <f t="shared" si="7"/>
        <v>97</v>
      </c>
      <c r="M21" s="11">
        <f>MIN(E21:I21)</f>
        <v>77</v>
      </c>
      <c r="N21" s="11" t="str">
        <f t="shared" si="9"/>
        <v>A grade</v>
      </c>
      <c r="O21" s="11" t="str">
        <f t="shared" si="10"/>
        <v>pass</v>
      </c>
      <c r="P21" s="12" t="e">
        <f t="shared" si="0"/>
        <v>#N/A</v>
      </c>
    </row>
  </sheetData>
  <conditionalFormatting sqref="J2:J21">
    <cfRule type="dataBar" priority="4">
      <dataBar>
        <cfvo type="min"/>
        <cfvo type="max"/>
        <color rgb="FF008AEF"/>
      </dataBar>
      <extLst>
        <ext xmlns:x14="http://schemas.microsoft.com/office/spreadsheetml/2009/9/main" uri="{B025F937-C7B1-47D3-B67F-A62EFF666E3E}">
          <x14:id>{A58A8664-BC14-43AB-8977-5378E8CAEBCD}</x14:id>
        </ext>
      </extLst>
    </cfRule>
  </conditionalFormatting>
  <conditionalFormatting sqref="K2:K21">
    <cfRule type="iconSet" priority="1">
      <iconSet iconSet="3Symbols">
        <cfvo type="percent" val="0"/>
        <cfvo type="percent" val="33"/>
        <cfvo type="percent" val="67"/>
      </iconSet>
    </cfRule>
  </conditionalFormatting>
  <conditionalFormatting sqref="P1:P23">
    <cfRule type="top10" dxfId="1" priority="2" bottom="1" rank="10"/>
  </conditionalFormatting>
  <conditionalFormatting sqref="P2:P21">
    <cfRule type="top10" dxfId="0" priority="3" rank="10"/>
  </conditionalFormatting>
  <pageMargins left="0.7" right="0.7" top="0.75" bottom="0.75" header="0.3" footer="0.3"/>
  <pageSetup orientation="portrait" r:id="rId1"/>
  <tableParts count="1">
    <tablePart r:id="rId2"/>
  </tableParts>
  <extLst>
    <ext xmlns:x14="http://schemas.microsoft.com/office/spreadsheetml/2009/9/main" uri="{78C0D931-6437-407d-A8EE-F0AAD7539E65}">
      <x14:conditionalFormattings>
        <x14:conditionalFormatting xmlns:xm="http://schemas.microsoft.com/office/excel/2006/main">
          <x14:cfRule type="dataBar" id="{A58A8664-BC14-43AB-8977-5378E8CAEBCD}">
            <x14:dataBar minLength="0" maxLength="100" border="1" negativeBarBorderColorSameAsPositive="0">
              <x14:cfvo type="autoMin"/>
              <x14:cfvo type="autoMax"/>
              <x14:borderColor rgb="FF008AEF"/>
              <x14:negativeFillColor rgb="FFFF0000"/>
              <x14:negativeBorderColor rgb="FFFF0000"/>
              <x14:axisColor rgb="FF000000"/>
            </x14:dataBar>
          </x14:cfRule>
          <xm:sqref>J2:J21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AB862-3F45-4735-AE31-D12B2AC2B233}">
  <dimension ref="A1:E5"/>
  <sheetViews>
    <sheetView workbookViewId="0">
      <selection activeCell="A9" sqref="A9"/>
    </sheetView>
  </sheetViews>
  <sheetFormatPr defaultRowHeight="15" x14ac:dyDescent="0.25"/>
  <cols>
    <col min="1" max="1" width="11" customWidth="1"/>
    <col min="2" max="2" width="9.28515625" bestFit="1" customWidth="1"/>
    <col min="3" max="3" width="10.85546875" customWidth="1"/>
    <col min="4" max="5" width="25.7109375" customWidth="1"/>
  </cols>
  <sheetData>
    <row r="1" spans="1:5" x14ac:dyDescent="0.25">
      <c r="A1" t="s">
        <v>64</v>
      </c>
      <c r="B1" t="s">
        <v>65</v>
      </c>
      <c r="C1" t="s">
        <v>66</v>
      </c>
      <c r="D1" t="s">
        <v>67</v>
      </c>
      <c r="E1" t="s">
        <v>68</v>
      </c>
    </row>
    <row r="2" spans="1:5" x14ac:dyDescent="0.25">
      <c r="A2" s="14">
        <v>46023</v>
      </c>
      <c r="B2">
        <v>208.1</v>
      </c>
    </row>
    <row r="3" spans="1:5" x14ac:dyDescent="0.25">
      <c r="A3" s="14">
        <v>46054</v>
      </c>
      <c r="B3">
        <v>209.3</v>
      </c>
    </row>
    <row r="4" spans="1:5" x14ac:dyDescent="0.25">
      <c r="A4" s="14">
        <v>46082</v>
      </c>
      <c r="B4">
        <v>208.5</v>
      </c>
      <c r="C4">
        <v>208.5</v>
      </c>
      <c r="D4" s="15">
        <v>208.5</v>
      </c>
      <c r="E4" s="15">
        <v>208.5</v>
      </c>
    </row>
    <row r="5" spans="1:5" x14ac:dyDescent="0.25">
      <c r="A5" s="14">
        <v>46110</v>
      </c>
      <c r="C5">
        <f>_xlfn.FORECAST.ETS(A5,$B$2:$B$4,$A$2:$A$4,1,1)</f>
        <v>208.9583990000003</v>
      </c>
      <c r="D5" s="15">
        <f>C5-_xlfn.FORECAST.ETS.CONFINT(A5,$B$2:$B$4,$A$2:$A$4,0.95,1,1)</f>
        <v>207.80462484078024</v>
      </c>
      <c r="E5" s="15">
        <f>C5+_xlfn.FORECAST.ETS.CONFINT(A5,$B$2:$B$4,$A$2:$A$4,0.95,1,1)</f>
        <v>210.11217315922036</v>
      </c>
    </row>
  </sheetData>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94953-FFE3-4C8D-AE6A-122C63BE2058}">
  <dimension ref="A1:K15"/>
  <sheetViews>
    <sheetView tabSelected="1" workbookViewId="0">
      <selection activeCell="H13" sqref="H13"/>
    </sheetView>
  </sheetViews>
  <sheetFormatPr defaultRowHeight="15" x14ac:dyDescent="0.25"/>
  <cols>
    <col min="1" max="2" width="9.140625" style="4"/>
    <col min="3" max="3" width="25.5703125" style="4" customWidth="1"/>
    <col min="4" max="7" width="9.140625" style="4"/>
    <col min="8" max="8" width="13.140625" style="4" customWidth="1"/>
    <col min="9" max="9" width="9.140625" style="4"/>
    <col min="10" max="10" width="9.85546875" style="4" bestFit="1" customWidth="1"/>
    <col min="11" max="16384" width="9.140625" style="4"/>
  </cols>
  <sheetData>
    <row r="1" spans="1:11" ht="18.75" x14ac:dyDescent="0.3">
      <c r="A1" s="6" t="s">
        <v>55</v>
      </c>
      <c r="B1" s="6" t="s">
        <v>54</v>
      </c>
      <c r="C1" s="6" t="s">
        <v>53</v>
      </c>
      <c r="D1" s="7"/>
      <c r="E1" s="4" t="s">
        <v>60</v>
      </c>
      <c r="F1" s="4" t="s">
        <v>1</v>
      </c>
      <c r="G1" s="4" t="s">
        <v>61</v>
      </c>
      <c r="H1" s="4" t="s">
        <v>88</v>
      </c>
      <c r="J1" s="4" t="s">
        <v>62</v>
      </c>
      <c r="K1" s="4" t="s">
        <v>63</v>
      </c>
    </row>
    <row r="2" spans="1:11" x14ac:dyDescent="0.25">
      <c r="A2" s="2">
        <v>1000</v>
      </c>
      <c r="B2" s="2" t="s">
        <v>49</v>
      </c>
      <c r="C2" s="5" t="s">
        <v>56</v>
      </c>
      <c r="E2" s="4">
        <v>1</v>
      </c>
      <c r="F2" s="4" t="s">
        <v>2</v>
      </c>
      <c r="G2" s="4">
        <v>60</v>
      </c>
      <c r="H2" s="4" t="str">
        <f>IF(G2&gt;60,"extraordinary","average")</f>
        <v>average</v>
      </c>
      <c r="J2" s="13">
        <v>46023</v>
      </c>
      <c r="K2" s="4">
        <v>208.1</v>
      </c>
    </row>
    <row r="3" spans="1:11" x14ac:dyDescent="0.25">
      <c r="A3" s="2">
        <v>1001</v>
      </c>
      <c r="B3" s="2" t="s">
        <v>50</v>
      </c>
      <c r="C3" s="5" t="s">
        <v>57</v>
      </c>
      <c r="E3" s="4">
        <v>3</v>
      </c>
      <c r="F3" s="4" t="s">
        <v>36</v>
      </c>
      <c r="G3" s="4">
        <v>80</v>
      </c>
      <c r="H3" s="4" t="str">
        <f t="shared" ref="H3:H5" si="0">IF(G3&gt;60,"extraordinary","average")</f>
        <v>extraordinary</v>
      </c>
      <c r="J3" s="13">
        <v>46054</v>
      </c>
      <c r="K3" s="4">
        <v>208.3</v>
      </c>
    </row>
    <row r="4" spans="1:11" x14ac:dyDescent="0.25">
      <c r="A4" s="2">
        <v>1002</v>
      </c>
      <c r="B4" s="2" t="s">
        <v>51</v>
      </c>
      <c r="C4" s="5" t="s">
        <v>58</v>
      </c>
      <c r="E4" s="4">
        <v>4</v>
      </c>
      <c r="F4" s="4" t="s">
        <v>37</v>
      </c>
      <c r="G4" s="4">
        <v>51</v>
      </c>
      <c r="H4" s="4" t="str">
        <f t="shared" si="0"/>
        <v>average</v>
      </c>
      <c r="J4" s="13">
        <v>46082</v>
      </c>
      <c r="K4" s="4">
        <v>208.5</v>
      </c>
    </row>
    <row r="5" spans="1:11" x14ac:dyDescent="0.25">
      <c r="A5" s="2">
        <v>1003</v>
      </c>
      <c r="B5" s="2" t="s">
        <v>52</v>
      </c>
      <c r="C5" s="5" t="s">
        <v>59</v>
      </c>
      <c r="E5" s="4">
        <v>5</v>
      </c>
      <c r="F5" s="4" t="s">
        <v>38</v>
      </c>
      <c r="G5" s="4">
        <v>59</v>
      </c>
      <c r="H5" s="4" t="str">
        <f t="shared" si="0"/>
        <v>average</v>
      </c>
      <c r="J5" s="13">
        <v>46113</v>
      </c>
    </row>
    <row r="6" spans="1:11" x14ac:dyDescent="0.25">
      <c r="E6"/>
      <c r="F6"/>
      <c r="G6"/>
      <c r="J6" s="13">
        <v>46143</v>
      </c>
    </row>
    <row r="9" spans="1:11" x14ac:dyDescent="0.25">
      <c r="B9" s="4">
        <v>100</v>
      </c>
    </row>
    <row r="11" spans="1:11" x14ac:dyDescent="0.25">
      <c r="B11" s="4">
        <v>200</v>
      </c>
    </row>
    <row r="12" spans="1:11" x14ac:dyDescent="0.25">
      <c r="E12" s="4">
        <f>B9+B11+B13</f>
        <v>600</v>
      </c>
      <c r="G12" s="4" t="s">
        <v>61</v>
      </c>
      <c r="H12" s="4" t="s">
        <v>89</v>
      </c>
    </row>
    <row r="13" spans="1:11" x14ac:dyDescent="0.25">
      <c r="B13" s="4">
        <v>300</v>
      </c>
      <c r="G13" s="4">
        <v>70</v>
      </c>
      <c r="H13" s="4">
        <f>G13/J13</f>
        <v>0.7</v>
      </c>
      <c r="J13" s="4">
        <v>100</v>
      </c>
    </row>
    <row r="14" spans="1:11" x14ac:dyDescent="0.25">
      <c r="G14" s="4">
        <v>60</v>
      </c>
      <c r="H14" s="4" t="e">
        <f>G14/J14</f>
        <v>#DIV/0!</v>
      </c>
    </row>
    <row r="15" spans="1:11" x14ac:dyDescent="0.25">
      <c r="E15" s="4">
        <f>600+100</f>
        <v>700</v>
      </c>
    </row>
  </sheetData>
  <hyperlinks>
    <hyperlink ref="C2" r:id="rId1" xr:uid="{192AD57E-0404-4B54-B137-2F347467D6E8}"/>
    <hyperlink ref="C3" r:id="rId2" xr:uid="{6E8F9312-9215-4DB2-A69B-034FD780EEDA}"/>
    <hyperlink ref="C4" r:id="rId3" xr:uid="{EDE7F99D-476A-4EBF-A4AB-05B71E2C4332}"/>
    <hyperlink ref="C5" r:id="rId4" xr:uid="{A3DC91E8-1C21-4799-9A7B-C6A02721425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5BAEB-1CFB-4118-AB7D-51B52EBDE8A5}">
  <dimension ref="A1:B9"/>
  <sheetViews>
    <sheetView workbookViewId="0">
      <pane ySplit="1" topLeftCell="A2" activePane="bottomLeft" state="frozen"/>
      <selection pane="bottomLeft" activeCell="A2" sqref="A2:B9"/>
    </sheetView>
  </sheetViews>
  <sheetFormatPr defaultRowHeight="15" x14ac:dyDescent="0.25"/>
  <cols>
    <col min="1" max="1" width="11.85546875" customWidth="1"/>
    <col min="2" max="2" width="12.85546875" customWidth="1"/>
  </cols>
  <sheetData>
    <row r="1" spans="1:2" x14ac:dyDescent="0.25">
      <c r="A1" s="20" t="s">
        <v>69</v>
      </c>
      <c r="B1" s="21" t="s">
        <v>78</v>
      </c>
    </row>
    <row r="2" spans="1:2" hidden="1" x14ac:dyDescent="0.25">
      <c r="A2" s="22" t="s">
        <v>70</v>
      </c>
      <c r="B2" s="9">
        <v>2000000</v>
      </c>
    </row>
    <row r="3" spans="1:2" hidden="1" x14ac:dyDescent="0.25">
      <c r="A3" s="22" t="s">
        <v>71</v>
      </c>
      <c r="B3" s="9">
        <v>600000</v>
      </c>
    </row>
    <row r="4" spans="1:2" x14ac:dyDescent="0.25">
      <c r="A4" s="22" t="s">
        <v>72</v>
      </c>
      <c r="B4" s="9">
        <v>750000</v>
      </c>
    </row>
    <row r="5" spans="1:2" x14ac:dyDescent="0.25">
      <c r="A5" s="22" t="s">
        <v>73</v>
      </c>
      <c r="B5" s="9">
        <v>820000</v>
      </c>
    </row>
    <row r="6" spans="1:2" hidden="1" x14ac:dyDescent="0.25">
      <c r="A6" s="22" t="s">
        <v>74</v>
      </c>
      <c r="B6" s="9">
        <v>588100</v>
      </c>
    </row>
    <row r="7" spans="1:2" hidden="1" x14ac:dyDescent="0.25">
      <c r="A7" s="22" t="s">
        <v>75</v>
      </c>
      <c r="B7" s="9">
        <v>545222</v>
      </c>
    </row>
    <row r="8" spans="1:2" x14ac:dyDescent="0.25">
      <c r="A8" s="22" t="s">
        <v>76</v>
      </c>
      <c r="B8" s="9">
        <v>54820000</v>
      </c>
    </row>
    <row r="9" spans="1:2" x14ac:dyDescent="0.25">
      <c r="A9" s="19" t="s">
        <v>77</v>
      </c>
      <c r="B9" s="12">
        <v>5486555</v>
      </c>
    </row>
  </sheetData>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DE508-F655-476C-BEE4-DB9C4CE70159}">
  <dimension ref="A1:C8"/>
  <sheetViews>
    <sheetView workbookViewId="0">
      <selection activeCell="C3" sqref="C3"/>
    </sheetView>
  </sheetViews>
  <sheetFormatPr defaultRowHeight="15" x14ac:dyDescent="0.25"/>
  <sheetData>
    <row r="1" spans="1:3" x14ac:dyDescent="0.25">
      <c r="A1" t="s">
        <v>79</v>
      </c>
      <c r="B1" t="s">
        <v>80</v>
      </c>
      <c r="C1" t="s">
        <v>86</v>
      </c>
    </row>
    <row r="2" spans="1:3" x14ac:dyDescent="0.25">
      <c r="A2">
        <v>1</v>
      </c>
      <c r="B2" t="s">
        <v>81</v>
      </c>
      <c r="C2" t="s">
        <v>87</v>
      </c>
    </row>
    <row r="3" spans="1:3" x14ac:dyDescent="0.25">
      <c r="A3">
        <v>2</v>
      </c>
      <c r="B3" t="s">
        <v>82</v>
      </c>
    </row>
    <row r="4" spans="1:3" x14ac:dyDescent="0.25">
      <c r="A4">
        <v>3</v>
      </c>
      <c r="B4" t="s">
        <v>83</v>
      </c>
    </row>
    <row r="5" spans="1:3" x14ac:dyDescent="0.25">
      <c r="A5">
        <v>4</v>
      </c>
      <c r="B5" t="s">
        <v>82</v>
      </c>
    </row>
    <row r="6" spans="1:3" x14ac:dyDescent="0.25">
      <c r="A6">
        <v>5</v>
      </c>
      <c r="B6" t="s">
        <v>82</v>
      </c>
    </row>
    <row r="7" spans="1:3" x14ac:dyDescent="0.25">
      <c r="A7">
        <v>6</v>
      </c>
      <c r="B7" t="s">
        <v>84</v>
      </c>
    </row>
    <row r="8" spans="1:3" x14ac:dyDescent="0.25">
      <c r="A8">
        <v>7</v>
      </c>
      <c r="B8" t="s">
        <v>85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Sheet1</vt:lpstr>
      <vt:lpstr>Sheet2</vt:lpstr>
      <vt:lpstr>Sheet4</vt:lpstr>
      <vt:lpstr>Sheet3</vt:lpstr>
      <vt:lpstr>Sheet5</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manisha gore</dc:creator>
  <cp:lastModifiedBy>manisha gore</cp:lastModifiedBy>
  <cp:lastPrinted>2026-08-10T14:14:34Z</cp:lastPrinted>
  <dcterms:created xsi:type="dcterms:W3CDTF">2026-08-10T13:25:31Z</dcterms:created>
  <dcterms:modified xsi:type="dcterms:W3CDTF">2026-08-14T05:46:06Z</dcterms:modified>
</cp:coreProperties>
</file>