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ff1f7f1b08cbf8/Documents/excel/"/>
    </mc:Choice>
  </mc:AlternateContent>
  <xr:revisionPtr revIDLastSave="368" documentId="8_{13A36251-90CA-4812-B750-A4E5E3B4B7A1}" xr6:coauthVersionLast="47" xr6:coauthVersionMax="47" xr10:uidLastSave="{EF8F7B1A-D399-4FF6-93D5-A8594F864A93}"/>
  <bookViews>
    <workbookView xWindow="-120" yWindow="-120" windowWidth="19440" windowHeight="10320" activeTab="1" xr2:uid="{8833C839-1A56-48AD-BAD5-E70EFDA34D12}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2" i="3"/>
  <c r="F2" i="2"/>
  <c r="G2" i="2" s="1"/>
  <c r="H2" i="2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F19" i="2"/>
  <c r="G19" i="2" s="1"/>
  <c r="F20" i="2"/>
  <c r="G20" i="2" s="1"/>
  <c r="F21" i="2"/>
  <c r="G21" i="2" s="1"/>
  <c r="H21" i="2" s="1"/>
  <c r="F3" i="2"/>
  <c r="G3" i="2" s="1"/>
  <c r="H3" i="2" s="1"/>
  <c r="F4" i="2"/>
  <c r="G4" i="2" s="1"/>
  <c r="F5" i="2"/>
  <c r="F6" i="2"/>
  <c r="F7" i="2"/>
  <c r="F8" i="2"/>
  <c r="F9" i="2"/>
  <c r="G9" i="2" s="1"/>
  <c r="H9" i="2" s="1"/>
  <c r="F10" i="2"/>
  <c r="F11" i="2"/>
  <c r="G11" i="2" s="1"/>
  <c r="H11" i="2" s="1"/>
  <c r="F12" i="2"/>
  <c r="G12" i="2" s="1"/>
  <c r="F13" i="2"/>
  <c r="F14" i="2"/>
  <c r="G14" i="2" s="1"/>
  <c r="H14" i="2" s="1"/>
  <c r="F15" i="2"/>
  <c r="F16" i="2"/>
  <c r="G16" i="2" s="1"/>
  <c r="H16" i="2" s="1"/>
  <c r="F17" i="2"/>
  <c r="G17" i="2" s="1"/>
  <c r="H17" i="2" s="1"/>
  <c r="F18" i="2"/>
  <c r="G18" i="2" s="1"/>
  <c r="H18" i="2" s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2" i="1"/>
  <c r="E2" i="1" s="1"/>
  <c r="C5" i="4"/>
  <c r="M18" i="2" l="1"/>
  <c r="L17" i="2"/>
  <c r="M17" i="2"/>
  <c r="L9" i="2"/>
  <c r="L16" i="2"/>
  <c r="M3" i="2"/>
  <c r="M21" i="2"/>
  <c r="M2" i="2"/>
  <c r="J2" i="2"/>
  <c r="K2" i="2" s="1"/>
  <c r="L2" i="2"/>
  <c r="L21" i="2"/>
  <c r="L14" i="2"/>
  <c r="M16" i="2"/>
  <c r="M11" i="2"/>
  <c r="L11" i="2"/>
  <c r="L3" i="2"/>
  <c r="M9" i="2"/>
  <c r="L18" i="2"/>
  <c r="M14" i="2"/>
  <c r="J14" i="2"/>
  <c r="K14" i="2" s="1"/>
  <c r="G6" i="2"/>
  <c r="H6" i="2" s="1"/>
  <c r="H19" i="2"/>
  <c r="L19" i="2" s="1"/>
  <c r="H12" i="2"/>
  <c r="J12" i="2" s="1"/>
  <c r="K12" i="2" s="1"/>
  <c r="H4" i="2"/>
  <c r="J4" i="2" s="1"/>
  <c r="K4" i="2" s="1"/>
  <c r="H20" i="2"/>
  <c r="L20" i="2" s="1"/>
  <c r="G10" i="2"/>
  <c r="J21" i="2"/>
  <c r="K21" i="2" s="1"/>
  <c r="J17" i="2"/>
  <c r="K17" i="2" s="1"/>
  <c r="J9" i="2"/>
  <c r="K9" i="2" s="1"/>
  <c r="J3" i="2"/>
  <c r="K3" i="2" s="1"/>
  <c r="J18" i="2"/>
  <c r="K18" i="2" s="1"/>
  <c r="G8" i="2"/>
  <c r="G15" i="2"/>
  <c r="G7" i="2"/>
  <c r="J16" i="2"/>
  <c r="K16" i="2" s="1"/>
  <c r="G5" i="2"/>
  <c r="H5" i="2" s="1"/>
  <c r="J11" i="2"/>
  <c r="K11" i="2" s="1"/>
  <c r="G13" i="2"/>
  <c r="H13" i="2" s="1"/>
  <c r="D5" i="4"/>
  <c r="E5" i="4"/>
  <c r="M4" i="2" l="1"/>
  <c r="M12" i="2"/>
  <c r="L12" i="2"/>
  <c r="O2" i="2"/>
  <c r="N2" i="2"/>
  <c r="H7" i="2"/>
  <c r="M7" i="2" s="1"/>
  <c r="L7" i="2"/>
  <c r="H15" i="2"/>
  <c r="M15" i="2" s="1"/>
  <c r="L5" i="2"/>
  <c r="L4" i="2"/>
  <c r="M5" i="2"/>
  <c r="M13" i="2"/>
  <c r="L6" i="2"/>
  <c r="L13" i="2"/>
  <c r="J20" i="2"/>
  <c r="K20" i="2" s="1"/>
  <c r="M20" i="2"/>
  <c r="N17" i="2"/>
  <c r="O17" i="2"/>
  <c r="N16" i="2"/>
  <c r="O16" i="2"/>
  <c r="N14" i="2"/>
  <c r="O14" i="2"/>
  <c r="H8" i="2"/>
  <c r="L8" i="2" s="1"/>
  <c r="N4" i="2"/>
  <c r="O4" i="2"/>
  <c r="N3" i="2"/>
  <c r="O3" i="2"/>
  <c r="N12" i="2"/>
  <c r="O12" i="2"/>
  <c r="M6" i="2"/>
  <c r="N21" i="2"/>
  <c r="O21" i="2"/>
  <c r="H10" i="2"/>
  <c r="L10" i="2" s="1"/>
  <c r="N18" i="2"/>
  <c r="O18" i="2"/>
  <c r="N11" i="2"/>
  <c r="O11" i="2"/>
  <c r="N9" i="2"/>
  <c r="O9" i="2"/>
  <c r="J19" i="2"/>
  <c r="K19" i="2" s="1"/>
  <c r="M19" i="2"/>
  <c r="J6" i="2"/>
  <c r="K6" i="2" s="1"/>
  <c r="J5" i="2"/>
  <c r="K5" i="2" s="1"/>
  <c r="J13" i="2"/>
  <c r="K13" i="2" s="1"/>
  <c r="J7" i="2" l="1"/>
  <c r="K7" i="2" s="1"/>
  <c r="J8" i="2"/>
  <c r="K8" i="2" s="1"/>
  <c r="N8" i="2" s="1"/>
  <c r="J15" i="2"/>
  <c r="K15" i="2" s="1"/>
  <c r="M8" i="2"/>
  <c r="L15" i="2"/>
  <c r="J10" i="2"/>
  <c r="K10" i="2" s="1"/>
  <c r="P14" i="2" s="1"/>
  <c r="N13" i="2"/>
  <c r="O13" i="2"/>
  <c r="M10" i="2"/>
  <c r="N5" i="2"/>
  <c r="O5" i="2"/>
  <c r="N7" i="2"/>
  <c r="O7" i="2"/>
  <c r="N19" i="2"/>
  <c r="O19" i="2"/>
  <c r="N6" i="2"/>
  <c r="O6" i="2"/>
  <c r="N20" i="2"/>
  <c r="O20" i="2"/>
  <c r="P13" i="2" l="1"/>
  <c r="O8" i="2"/>
  <c r="P2" i="2"/>
  <c r="P18" i="2"/>
  <c r="O15" i="2"/>
  <c r="N15" i="2"/>
  <c r="P10" i="2"/>
  <c r="P4" i="2"/>
  <c r="P8" i="2"/>
  <c r="P17" i="2"/>
  <c r="P5" i="2"/>
  <c r="P7" i="2"/>
  <c r="P21" i="2"/>
  <c r="P12" i="2"/>
  <c r="P16" i="2"/>
  <c r="P20" i="2"/>
  <c r="P19" i="2"/>
  <c r="P6" i="2"/>
  <c r="P9" i="2"/>
  <c r="P15" i="2"/>
  <c r="P11" i="2"/>
  <c r="N10" i="2"/>
  <c r="O10" i="2"/>
  <c r="P3" i="2"/>
</calcChain>
</file>

<file path=xl/sharedStrings.xml><?xml version="1.0" encoding="utf-8"?>
<sst xmlns="http://schemas.openxmlformats.org/spreadsheetml/2006/main" count="76" uniqueCount="69">
  <si>
    <t>sr.no</t>
  </si>
  <si>
    <t>name</t>
  </si>
  <si>
    <t>ankita</t>
  </si>
  <si>
    <t>anjali</t>
  </si>
  <si>
    <t>saniya</t>
  </si>
  <si>
    <t>neha</t>
  </si>
  <si>
    <t>durga</t>
  </si>
  <si>
    <t>rani</t>
  </si>
  <si>
    <t>rupali</t>
  </si>
  <si>
    <t>sruti</t>
  </si>
  <si>
    <t>kajal</t>
  </si>
  <si>
    <t>rajni</t>
  </si>
  <si>
    <t>salary</t>
  </si>
  <si>
    <t>bonus</t>
  </si>
  <si>
    <t>total</t>
  </si>
  <si>
    <t>roll no</t>
  </si>
  <si>
    <t>class</t>
  </si>
  <si>
    <t>age</t>
  </si>
  <si>
    <t>math</t>
  </si>
  <si>
    <t>science</t>
  </si>
  <si>
    <t>marathi</t>
  </si>
  <si>
    <t>hindi</t>
  </si>
  <si>
    <t>english</t>
  </si>
  <si>
    <t xml:space="preserve">total </t>
  </si>
  <si>
    <t>percentage</t>
  </si>
  <si>
    <t>ajay</t>
  </si>
  <si>
    <t>raj</t>
  </si>
  <si>
    <t>shivani</t>
  </si>
  <si>
    <t>parth</t>
  </si>
  <si>
    <t>shivam</t>
  </si>
  <si>
    <t>shiv</t>
  </si>
  <si>
    <t>ketan</t>
  </si>
  <si>
    <t>shivraj</t>
  </si>
  <si>
    <t>seema</t>
  </si>
  <si>
    <t>chetan</t>
  </si>
  <si>
    <t>sarthak</t>
  </si>
  <si>
    <t>mahesh</t>
  </si>
  <si>
    <t>manisha</t>
  </si>
  <si>
    <t>amol</t>
  </si>
  <si>
    <t>vishal</t>
  </si>
  <si>
    <t>umesh</t>
  </si>
  <si>
    <t>ajinkya</t>
  </si>
  <si>
    <t>amruta</t>
  </si>
  <si>
    <t>aditi</t>
  </si>
  <si>
    <t>grade</t>
  </si>
  <si>
    <t>max mark</t>
  </si>
  <si>
    <t>min mark</t>
  </si>
  <si>
    <t>pass/fail</t>
  </si>
  <si>
    <t>rank</t>
  </si>
  <si>
    <t>amar</t>
  </si>
  <si>
    <t>suman</t>
  </si>
  <si>
    <t>kiran</t>
  </si>
  <si>
    <t>ajit</t>
  </si>
  <si>
    <t>Email Id</t>
  </si>
  <si>
    <t>Name</t>
  </si>
  <si>
    <t>Id</t>
  </si>
  <si>
    <t>am.1000@gmail.com</t>
  </si>
  <si>
    <t>su.1001@gmail.com</t>
  </si>
  <si>
    <t>ki.1002@gmail.com</t>
  </si>
  <si>
    <t>aj.1003@gmail.com</t>
  </si>
  <si>
    <t>id</t>
  </si>
  <si>
    <t>marks</t>
  </si>
  <si>
    <t>DATE</t>
  </si>
  <si>
    <t>price</t>
  </si>
  <si>
    <t>Timeline</t>
  </si>
  <si>
    <t>Values</t>
  </si>
  <si>
    <t>Forecast</t>
  </si>
  <si>
    <t>Lower Confidence Bound</t>
  </si>
  <si>
    <t>Upper Confidence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</si>
</sst>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 Rounded MT Bold"/>
      <family val="2"/>
    </font>
    <font>
      <u/>
      <sz val="11"/>
      <color theme="10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15" fontId="0" fillId="0" borderId="0" xfId="0" applyNumberFormat="1" applyAlignment="1">
      <alignment horizontal="center"/>
    </xf>
    <xf numFmtId="15" fontId="0" fillId="0" borderId="0" xfId="0" applyNumberFormat="1"/>
    <xf numFmtId="2" fontId="0" fillId="0" borderId="0" xfId="0" applyNumberFormat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/>
  </cellXfs>
  <cellStyles count="2">
    <cellStyle name="Hyperlink" xfId="1" builtinId="8"/>
    <cellStyle name="Normal" xfId="0" builtinId="0"/>
  </cellStyles>
  <dxfs count="27">
    <dxf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0" formatCode="dd/mmm/yy"/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Sheet4!$B$2:$B$5</c:f>
              <c:numCache>
                <c:formatCode>General</c:formatCode>
                <c:ptCount val="4"/>
                <c:pt idx="0">
                  <c:v>208.1</c:v>
                </c:pt>
                <c:pt idx="1">
                  <c:v>209.3</c:v>
                </c:pt>
                <c:pt idx="2">
                  <c:v>208.5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2-4397-B264-F59C4A22043F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Sheet4!$A$2:$A$5</c:f>
              <c:numCache>
                <c:formatCode>d\-mmm\-yy</c:formatCode>
                <c:ptCount val="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46110</c:v>
                </c:pt>
              </c:numCache>
            </c:numRef>
          </c:cat>
          <c:val>
            <c:numRef>
              <c:f>Sheet4!$C$2:$C$5</c:f>
              <c:numCache>
                <c:formatCode>General</c:formatCode>
                <c:ptCount val="4"/>
                <c:pt idx="2">
                  <c:v>208.5</c:v>
                </c:pt>
                <c:pt idx="3">
                  <c:v>208.9583990000003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2-4397-B264-F59C4A22043F}"/>
            </c:ext>
          </c:extLst>
        </c:ser>
        <c:ser>
          <c:idx val="2"/>
          <c:order val="2"/>
          <c:tx>
            <c:strRef>
              <c:f>Sheet4!$D$1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Sheet4!$A$2:$A$5</c:f>
              <c:numCache>
                <c:formatCode>d\-mmm\-yy</c:formatCode>
                <c:ptCount val="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46110</c:v>
                </c:pt>
              </c:numCache>
            </c:numRef>
          </c:cat>
          <c:val>
            <c:numRef>
              <c:f>Sheet4!$D$2:$D$5</c:f>
              <c:numCache>
                <c:formatCode>General</c:formatCode>
                <c:ptCount val="4"/>
                <c:pt idx="2" formatCode="0.00">
                  <c:v>208.5</c:v>
                </c:pt>
                <c:pt idx="3" formatCode="0.00">
                  <c:v>207.80462484078024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2-4397-B264-F59C4A22043F}"/>
            </c:ext>
          </c:extLst>
        </c:ser>
        <c:ser>
          <c:idx val="3"/>
          <c:order val="3"/>
          <c:tx>
            <c:strRef>
              <c:f>Sheet4!$E$1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Sheet4!$A$2:$A$5</c:f>
              <c:numCache>
                <c:formatCode>d\-mmm\-yy</c:formatCode>
                <c:ptCount val="4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46110</c:v>
                </c:pt>
              </c:numCache>
            </c:numRef>
          </c:cat>
          <c:val>
            <c:numRef>
              <c:f>Sheet4!$E$2:$E$5</c:f>
              <c:numCache>
                <c:formatCode>General</c:formatCode>
                <c:ptCount val="4"/>
                <c:pt idx="2" formatCode="0.00">
                  <c:v>208.5</c:v>
                </c:pt>
                <c:pt idx="3" formatCode="0.00">
                  <c:v>210.11217315922036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62-4397-B264-F59C4A220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290464"/>
        <c:axId val="1785167248"/>
      </c:lineChart>
      <c:catAx>
        <c:axId val="1821290464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67248"/>
        <c:crosses val="autoZero"/>
        <c:auto val="1"/>
        <c:lblAlgn val="ctr"/>
        <c:lblOffset val="100"/>
        <c:noMultiLvlLbl val="0"/>
      </c:catAx>
      <c:valAx>
        <c:axId val="17851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29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1504950</xdr:colOff>
      <xdr:row>2</xdr:row>
      <xdr:rowOff>52387</xdr:rowOff>
    </xdr:from>
    <xdr:to>
      <xdr:col>11</xdr:col>
      <xdr:colOff>552450</xdr:colOff>
      <xdr:row>17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D01150-D76C-CF95-06D2-7397A1712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150032-0159-4CA8-893D-099E996638F2}" name="Table5" displayName="Table5" ref="A1:P21" totalsRowShown="0" headerRowDxfId="0" dataDxfId="2" headerRowBorderDxfId="20" tableBorderDxfId="21" totalsRowBorderDxfId="19">
  <autoFilter ref="A1:P21" xr:uid="{F5150032-0159-4CA8-893D-099E996638F2}"/>
  <tableColumns count="16">
    <tableColumn id="1" xr3:uid="{C5CBFC98-8E7D-4C21-89E4-FAF15EA36526}" name="roll no" dataDxfId="18"/>
    <tableColumn id="2" xr3:uid="{90E1E575-36AE-4B57-9554-F810D22C4069}" name="name" dataDxfId="17"/>
    <tableColumn id="3" xr3:uid="{41CE8180-A4B3-4981-A46A-5797578CAEBC}" name="class" dataDxfId="16"/>
    <tableColumn id="4" xr3:uid="{4F43BF84-4F85-45AF-A5B7-BFD0B0B34915}" name="age" dataDxfId="15"/>
    <tableColumn id="5" xr3:uid="{723CA5DE-548C-4380-AD3E-C06E34485EB9}" name="math" dataDxfId="14"/>
    <tableColumn id="6" xr3:uid="{37F8BA1F-733A-4691-BF51-B91D7018745E}" name="science" dataDxfId="13">
      <calculatedColumnFormula>E2-5</calculatedColumnFormula>
    </tableColumn>
    <tableColumn id="7" xr3:uid="{CDC30C63-68AB-41E4-A290-A45A3E040F06}" name="marathi" dataDxfId="12">
      <calculatedColumnFormula>F2+10</calculatedColumnFormula>
    </tableColumn>
    <tableColumn id="8" xr3:uid="{BEE1DACA-0144-458E-B4DB-2E8FA27BD48F}" name="hindi" dataDxfId="11">
      <calculatedColumnFormula>G2-15</calculatedColumnFormula>
    </tableColumn>
    <tableColumn id="9" xr3:uid="{BBBCAECC-4D66-4109-B234-FD85295AFE78}" name="english" dataDxfId="10">
      <calculatedColumnFormula>E2+10</calculatedColumnFormula>
    </tableColumn>
    <tableColumn id="10" xr3:uid="{B96932F1-5DF6-40E6-82DD-186EBF3F6BDB}" name="total " dataDxfId="9">
      <calculatedColumnFormula>E2+F2+G2+H2+I2</calculatedColumnFormula>
    </tableColumn>
    <tableColumn id="11" xr3:uid="{ACBC5DBF-7793-4B03-BAEE-DA459C59102B}" name="percentage" dataDxfId="8">
      <calculatedColumnFormula>J2/5</calculatedColumnFormula>
    </tableColumn>
    <tableColumn id="12" xr3:uid="{86B97156-9599-4332-9136-4948BFDC7CA4}" name="max mark" dataDxfId="7">
      <calculatedColumnFormula>MAX(E2:I2)</calculatedColumnFormula>
    </tableColumn>
    <tableColumn id="13" xr3:uid="{59256C59-67E2-4019-929E-7A2B13AA2E2D}" name="min mark" dataDxfId="6">
      <calculatedColumnFormula>MIN(E2:I2)</calculatedColumnFormula>
    </tableColumn>
    <tableColumn id="14" xr3:uid="{87E2380E-FA60-4C28-B452-18BA6BEEB07B}" name="grade" dataDxfId="5">
      <calculatedColumnFormula>IF(K2&gt;=75,"A grade",IF(K2&gt;=60,"B grade",IF(K2&gt;=50,"C grade","Fail")))</calculatedColumnFormula>
    </tableColumn>
    <tableColumn id="15" xr3:uid="{AC83FF28-CE7B-48BB-BB92-5021D9540420}" name="pass/fail" dataDxfId="4">
      <calculatedColumnFormula>IF(K2&gt;=35,"pass","fail")</calculatedColumnFormula>
    </tableColumn>
    <tableColumn id="16" xr3:uid="{D4F53D51-E319-4A77-BCBF-62DC45AD5BB4}" name="rank" dataDxfId="3">
      <calculatedColumnFormula>RANK(K2,$K$2:$K$20,0)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B4D063-B7D8-4E47-8C86-D164EA8A7EDA}" name="Table6" displayName="Table6" ref="A1:E5" totalsRowShown="0">
  <autoFilter ref="A1:E5" xr:uid="{C9B4D063-B7D8-4E47-8C86-D164EA8A7EDA}"/>
  <tableColumns count="5">
    <tableColumn id="1" xr3:uid="{49C51BA5-B62E-40F7-85F4-4331E95A2AC7}" name="Timeline" dataDxfId="1"/>
    <tableColumn id="2" xr3:uid="{B8340230-C8E7-4489-9FB7-8C38F220FDCA}" name="Values"/>
    <tableColumn id="3" xr3:uid="{CA2197FD-54B9-44BE-ABAB-9BCC80299CC5}" name="Forecast"/>
    <tableColumn id="4" xr3:uid="{BE0ED526-ABE0-4DA3-B130-5A3417BAF8EE}" name="Lower Confidence Bound"/>
    <tableColumn id="5" xr3:uid="{6F90FA9C-79B9-4964-B299-CAEBB276AB66}" name="Upper Confidence Bou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i.1002@gmail.com" TargetMode="External"/><Relationship Id="rId2" Type="http://schemas.openxmlformats.org/officeDocument/2006/relationships/hyperlink" Target="mailto:su.1001@gmail.com" TargetMode="External"/><Relationship Id="rId1" Type="http://schemas.openxmlformats.org/officeDocument/2006/relationships/hyperlink" Target="mailto:am.1000@gmail.com" TargetMode="External"/><Relationship Id="rId4" Type="http://schemas.openxmlformats.org/officeDocument/2006/relationships/hyperlink" Target="mailto:aj.1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D599-A7FE-4CC9-A11D-3F1A2140DD8C}">
  <dimension ref="A1:F11"/>
  <sheetViews>
    <sheetView workbookViewId="0">
      <selection activeCell="F1" sqref="F1"/>
    </sheetView>
  </sheetViews>
  <sheetFormatPr defaultRowHeight="15" x14ac:dyDescent="0.25"/>
  <cols>
    <col min="6" max="6" width="12.140625" bestFit="1" customWidth="1"/>
  </cols>
  <sheetData>
    <row r="1" spans="1:6" x14ac:dyDescent="0.25">
      <c r="A1" s="3" t="s">
        <v>0</v>
      </c>
      <c r="B1" s="3" t="s">
        <v>1</v>
      </c>
      <c r="C1" s="3" t="s">
        <v>12</v>
      </c>
      <c r="D1" s="3" t="s">
        <v>13</v>
      </c>
      <c r="E1" s="3" t="s">
        <v>14</v>
      </c>
    </row>
    <row r="2" spans="1:6" x14ac:dyDescent="0.25">
      <c r="A2" s="2">
        <v>1</v>
      </c>
      <c r="B2" s="2" t="s">
        <v>2</v>
      </c>
      <c r="C2" s="2">
        <v>54414</v>
      </c>
      <c r="D2" s="2">
        <f>C2*5%</f>
        <v>2720.7000000000003</v>
      </c>
      <c r="E2" s="2">
        <f>C2+D2</f>
        <v>57134.7</v>
      </c>
      <c r="F2" s="1"/>
    </row>
    <row r="3" spans="1:6" x14ac:dyDescent="0.25">
      <c r="A3" s="2">
        <v>2</v>
      </c>
      <c r="B3" s="2" t="s">
        <v>3</v>
      </c>
      <c r="C3" s="2">
        <v>56821</v>
      </c>
      <c r="D3" s="2">
        <f t="shared" ref="D3:D11" si="0">C3*5%</f>
        <v>2841.05</v>
      </c>
      <c r="E3" s="2">
        <f t="shared" ref="E3:E11" si="1">C3+D3</f>
        <v>59662.05</v>
      </c>
    </row>
    <row r="4" spans="1:6" x14ac:dyDescent="0.25">
      <c r="A4" s="2">
        <v>3</v>
      </c>
      <c r="B4" s="2" t="s">
        <v>4</v>
      </c>
      <c r="C4" s="2">
        <v>54585</v>
      </c>
      <c r="D4" s="2">
        <f t="shared" si="0"/>
        <v>2729.25</v>
      </c>
      <c r="E4" s="2">
        <f t="shared" si="1"/>
        <v>57314.25</v>
      </c>
    </row>
    <row r="5" spans="1:6" x14ac:dyDescent="0.25">
      <c r="A5" s="2">
        <v>4</v>
      </c>
      <c r="B5" s="2" t="s">
        <v>5</v>
      </c>
      <c r="C5" s="2">
        <v>24551</v>
      </c>
      <c r="D5" s="2">
        <f t="shared" si="0"/>
        <v>1227.55</v>
      </c>
      <c r="E5" s="2">
        <f t="shared" si="1"/>
        <v>25778.55</v>
      </c>
    </row>
    <row r="6" spans="1:6" x14ac:dyDescent="0.25">
      <c r="A6" s="2">
        <v>5</v>
      </c>
      <c r="B6" s="2" t="s">
        <v>6</v>
      </c>
      <c r="C6" s="2">
        <v>55521</v>
      </c>
      <c r="D6" s="2">
        <f t="shared" si="0"/>
        <v>2776.05</v>
      </c>
      <c r="E6" s="2">
        <f t="shared" si="1"/>
        <v>58297.05</v>
      </c>
    </row>
    <row r="7" spans="1:6" x14ac:dyDescent="0.25">
      <c r="A7" s="2">
        <v>6</v>
      </c>
      <c r="B7" s="2" t="s">
        <v>7</v>
      </c>
      <c r="C7" s="2">
        <v>24562</v>
      </c>
      <c r="D7" s="2">
        <f t="shared" si="0"/>
        <v>1228.1000000000001</v>
      </c>
      <c r="E7" s="2">
        <f t="shared" si="1"/>
        <v>25790.1</v>
      </c>
    </row>
    <row r="8" spans="1:6" x14ac:dyDescent="0.25">
      <c r="A8" s="2">
        <v>7</v>
      </c>
      <c r="B8" s="2" t="s">
        <v>8</v>
      </c>
      <c r="C8" s="2">
        <v>25456</v>
      </c>
      <c r="D8" s="2">
        <f t="shared" si="0"/>
        <v>1272.8000000000002</v>
      </c>
      <c r="E8" s="2">
        <f t="shared" si="1"/>
        <v>26728.799999999999</v>
      </c>
    </row>
    <row r="9" spans="1:6" x14ac:dyDescent="0.25">
      <c r="A9" s="2">
        <v>8</v>
      </c>
      <c r="B9" s="2" t="s">
        <v>9</v>
      </c>
      <c r="C9" s="2">
        <v>24565</v>
      </c>
      <c r="D9" s="2">
        <f t="shared" si="0"/>
        <v>1228.25</v>
      </c>
      <c r="E9" s="2">
        <f t="shared" si="1"/>
        <v>25793.25</v>
      </c>
    </row>
    <row r="10" spans="1:6" x14ac:dyDescent="0.25">
      <c r="A10" s="2">
        <v>9</v>
      </c>
      <c r="B10" s="2" t="s">
        <v>10</v>
      </c>
      <c r="C10" s="2">
        <v>47895</v>
      </c>
      <c r="D10" s="2">
        <f t="shared" si="0"/>
        <v>2394.75</v>
      </c>
      <c r="E10" s="2">
        <f t="shared" si="1"/>
        <v>50289.75</v>
      </c>
    </row>
    <row r="11" spans="1:6" x14ac:dyDescent="0.25">
      <c r="A11" s="2">
        <v>10</v>
      </c>
      <c r="B11" s="2" t="s">
        <v>11</v>
      </c>
      <c r="C11" s="2">
        <v>56258</v>
      </c>
      <c r="D11" s="2">
        <f t="shared" si="0"/>
        <v>2812.9</v>
      </c>
      <c r="E11" s="2">
        <f t="shared" si="1"/>
        <v>59070.9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C223-A399-48A7-9A7C-C931DEEAE206}">
  <dimension ref="A1:P21"/>
  <sheetViews>
    <sheetView showGridLines="0" tabSelected="1" topLeftCell="B5" workbookViewId="0">
      <selection activeCell="E23" sqref="E23"/>
    </sheetView>
  </sheetViews>
  <sheetFormatPr defaultRowHeight="15" x14ac:dyDescent="0.25"/>
  <cols>
    <col min="1" max="1" width="13.140625" customWidth="1"/>
    <col min="2" max="2" width="12.140625" customWidth="1"/>
    <col min="3" max="3" width="12.7109375" customWidth="1"/>
    <col min="4" max="4" width="10.42578125" customWidth="1"/>
    <col min="5" max="5" width="11.5703125" customWidth="1"/>
    <col min="6" max="6" width="13.7109375" customWidth="1"/>
    <col min="7" max="7" width="14.42578125" customWidth="1"/>
    <col min="8" max="8" width="12.28515625" customWidth="1"/>
    <col min="9" max="9" width="13.42578125" customWidth="1"/>
    <col min="11" max="11" width="12.85546875" customWidth="1"/>
    <col min="12" max="12" width="11.85546875" customWidth="1"/>
    <col min="13" max="13" width="11.5703125" customWidth="1"/>
    <col min="15" max="15" width="11" customWidth="1"/>
  </cols>
  <sheetData>
    <row r="1" spans="1:16" x14ac:dyDescent="0.25">
      <c r="A1" s="16" t="s">
        <v>15</v>
      </c>
      <c r="B1" s="17" t="s">
        <v>1</v>
      </c>
      <c r="C1" s="17" t="s">
        <v>16</v>
      </c>
      <c r="D1" s="17" t="s">
        <v>17</v>
      </c>
      <c r="E1" s="17" t="s">
        <v>18</v>
      </c>
      <c r="F1" s="17" t="s">
        <v>19</v>
      </c>
      <c r="G1" s="17" t="s">
        <v>20</v>
      </c>
      <c r="H1" s="17" t="s">
        <v>21</v>
      </c>
      <c r="I1" s="17" t="s">
        <v>22</v>
      </c>
      <c r="J1" s="17" t="s">
        <v>23</v>
      </c>
      <c r="K1" s="17" t="s">
        <v>24</v>
      </c>
      <c r="L1" s="17" t="s">
        <v>45</v>
      </c>
      <c r="M1" s="17" t="s">
        <v>46</v>
      </c>
      <c r="N1" s="17" t="s">
        <v>44</v>
      </c>
      <c r="O1" s="17" t="s">
        <v>47</v>
      </c>
      <c r="P1" s="18" t="s">
        <v>48</v>
      </c>
    </row>
    <row r="2" spans="1:16" x14ac:dyDescent="0.25">
      <c r="A2" s="8">
        <v>1</v>
      </c>
      <c r="B2" s="2" t="s">
        <v>25</v>
      </c>
      <c r="C2" s="2">
        <v>10</v>
      </c>
      <c r="D2" s="2">
        <v>16</v>
      </c>
      <c r="E2" s="2">
        <v>65</v>
      </c>
      <c r="F2" s="2">
        <f>E2-5</f>
        <v>60</v>
      </c>
      <c r="G2" s="2">
        <f>F2+10</f>
        <v>70</v>
      </c>
      <c r="H2" s="2">
        <f>G2-15</f>
        <v>55</v>
      </c>
      <c r="I2" s="2">
        <f>E2+10</f>
        <v>75</v>
      </c>
      <c r="J2" s="2">
        <f>E2+F2+G2+H2+I2</f>
        <v>325</v>
      </c>
      <c r="K2" s="2">
        <f>J2/5</f>
        <v>65</v>
      </c>
      <c r="L2" s="2">
        <f>MAX(E2:I2)</f>
        <v>75</v>
      </c>
      <c r="M2" s="2">
        <f>MIN(E2:I2)</f>
        <v>55</v>
      </c>
      <c r="N2" s="2" t="str">
        <f>IF(K2&gt;=75,"A grade",IF(K2&gt;=60,"B grade",IF(K2&gt;=50,"C grade","Fail")))</f>
        <v>B grade</v>
      </c>
      <c r="O2" s="2" t="str">
        <f>IF(K2&gt;=35,"pass","fail")</f>
        <v>pass</v>
      </c>
      <c r="P2" s="9">
        <f>RANK(K2,$K$2:$K$20,0)</f>
        <v>6</v>
      </c>
    </row>
    <row r="3" spans="1:16" x14ac:dyDescent="0.25">
      <c r="A3" s="8">
        <v>2</v>
      </c>
      <c r="B3" s="2" t="s">
        <v>26</v>
      </c>
      <c r="C3" s="2">
        <v>10</v>
      </c>
      <c r="D3" s="2">
        <v>16</v>
      </c>
      <c r="E3" s="2">
        <v>35</v>
      </c>
      <c r="F3" s="2">
        <f t="shared" ref="F3:F21" si="0">E3-5</f>
        <v>30</v>
      </c>
      <c r="G3" s="2">
        <f t="shared" ref="G3:G21" si="1">F3+10</f>
        <v>40</v>
      </c>
      <c r="H3" s="2">
        <f t="shared" ref="H3:H21" si="2">G3-15</f>
        <v>25</v>
      </c>
      <c r="I3" s="2">
        <f t="shared" ref="I3:I21" si="3">E3+10</f>
        <v>45</v>
      </c>
      <c r="J3" s="2">
        <f t="shared" ref="J3:J20" si="4">E3+F3+G3+H3+I3</f>
        <v>175</v>
      </c>
      <c r="K3" s="2">
        <f t="shared" ref="K3:K21" si="5">J3/5</f>
        <v>35</v>
      </c>
      <c r="L3" s="2">
        <f t="shared" ref="L3:M21" si="6">MAX(E3:I3)</f>
        <v>45</v>
      </c>
      <c r="M3" s="2">
        <f t="shared" ref="M3:M20" si="7">MIN(E3:I3)</f>
        <v>25</v>
      </c>
      <c r="N3" s="2" t="str">
        <f t="shared" ref="N3:N21" si="8">IF(K3&gt;=75,"A grade",IF(K3&gt;=60,"B grade",IF(K3&gt;=50,"C grade","Fail")))</f>
        <v>Fail</v>
      </c>
      <c r="O3" s="2" t="str">
        <f t="shared" ref="O3:O21" si="9">IF(K3&gt;=35,"pass","fail")</f>
        <v>pass</v>
      </c>
      <c r="P3" s="9">
        <f>RANK(K3,$K$2:$K$20,0)</f>
        <v>14</v>
      </c>
    </row>
    <row r="4" spans="1:16" x14ac:dyDescent="0.25">
      <c r="A4" s="8">
        <v>3</v>
      </c>
      <c r="B4" s="2" t="s">
        <v>27</v>
      </c>
      <c r="C4" s="2">
        <v>10</v>
      </c>
      <c r="D4" s="2">
        <v>16</v>
      </c>
      <c r="E4" s="2">
        <v>58</v>
      </c>
      <c r="F4" s="2">
        <f t="shared" si="0"/>
        <v>53</v>
      </c>
      <c r="G4" s="2">
        <f t="shared" si="1"/>
        <v>63</v>
      </c>
      <c r="H4" s="2">
        <f t="shared" si="2"/>
        <v>48</v>
      </c>
      <c r="I4" s="2">
        <f t="shared" si="3"/>
        <v>68</v>
      </c>
      <c r="J4" s="2">
        <f t="shared" si="4"/>
        <v>290</v>
      </c>
      <c r="K4" s="2">
        <f t="shared" si="5"/>
        <v>58</v>
      </c>
      <c r="L4" s="2">
        <f t="shared" si="6"/>
        <v>68</v>
      </c>
      <c r="M4" s="2">
        <f t="shared" si="7"/>
        <v>48</v>
      </c>
      <c r="N4" s="2" t="str">
        <f t="shared" si="8"/>
        <v>C grade</v>
      </c>
      <c r="O4" s="2" t="str">
        <f t="shared" si="9"/>
        <v>pass</v>
      </c>
      <c r="P4" s="9">
        <f>RANK(K4,$K$2:$K$20,0)</f>
        <v>7</v>
      </c>
    </row>
    <row r="5" spans="1:16" x14ac:dyDescent="0.25">
      <c r="A5" s="8">
        <v>4</v>
      </c>
      <c r="B5" s="2" t="s">
        <v>28</v>
      </c>
      <c r="C5" s="2">
        <v>10</v>
      </c>
      <c r="D5" s="2">
        <v>16</v>
      </c>
      <c r="E5" s="2">
        <v>89</v>
      </c>
      <c r="F5" s="2">
        <f t="shared" si="0"/>
        <v>84</v>
      </c>
      <c r="G5" s="2">
        <f t="shared" si="1"/>
        <v>94</v>
      </c>
      <c r="H5" s="2">
        <f t="shared" si="2"/>
        <v>79</v>
      </c>
      <c r="I5" s="2">
        <f t="shared" si="3"/>
        <v>99</v>
      </c>
      <c r="J5" s="2">
        <f t="shared" si="4"/>
        <v>445</v>
      </c>
      <c r="K5" s="2">
        <f t="shared" si="5"/>
        <v>89</v>
      </c>
      <c r="L5" s="2">
        <f t="shared" si="6"/>
        <v>99</v>
      </c>
      <c r="M5" s="2">
        <f t="shared" si="7"/>
        <v>79</v>
      </c>
      <c r="N5" s="2" t="str">
        <f t="shared" si="8"/>
        <v>A grade</v>
      </c>
      <c r="O5" s="2" t="str">
        <f t="shared" si="9"/>
        <v>pass</v>
      </c>
      <c r="P5" s="9">
        <f>RANK(K5,$K$2:$K$20,0)</f>
        <v>1</v>
      </c>
    </row>
    <row r="6" spans="1:16" x14ac:dyDescent="0.25">
      <c r="A6" s="8">
        <v>5</v>
      </c>
      <c r="B6" s="2" t="s">
        <v>29</v>
      </c>
      <c r="C6" s="2">
        <v>10</v>
      </c>
      <c r="D6" s="2">
        <v>16</v>
      </c>
      <c r="E6" s="2">
        <v>24</v>
      </c>
      <c r="F6" s="2">
        <f t="shared" si="0"/>
        <v>19</v>
      </c>
      <c r="G6" s="2">
        <f t="shared" si="1"/>
        <v>29</v>
      </c>
      <c r="H6" s="2">
        <f t="shared" si="2"/>
        <v>14</v>
      </c>
      <c r="I6" s="2">
        <f t="shared" si="3"/>
        <v>34</v>
      </c>
      <c r="J6" s="2">
        <f t="shared" si="4"/>
        <v>120</v>
      </c>
      <c r="K6" s="2">
        <f t="shared" si="5"/>
        <v>24</v>
      </c>
      <c r="L6" s="2">
        <f t="shared" si="6"/>
        <v>34</v>
      </c>
      <c r="M6" s="2">
        <f t="shared" si="7"/>
        <v>14</v>
      </c>
      <c r="N6" s="2" t="str">
        <f t="shared" si="8"/>
        <v>Fail</v>
      </c>
      <c r="O6" s="2" t="str">
        <f t="shared" si="9"/>
        <v>fail</v>
      </c>
      <c r="P6" s="9">
        <f>RANK(K6,$K$2:$K$20,0)</f>
        <v>16</v>
      </c>
    </row>
    <row r="7" spans="1:16" x14ac:dyDescent="0.25">
      <c r="A7" s="8">
        <v>6</v>
      </c>
      <c r="B7" s="2" t="s">
        <v>30</v>
      </c>
      <c r="C7" s="2">
        <v>10</v>
      </c>
      <c r="D7" s="2">
        <v>16</v>
      </c>
      <c r="E7" s="2">
        <v>28</v>
      </c>
      <c r="F7" s="2">
        <f t="shared" si="0"/>
        <v>23</v>
      </c>
      <c r="G7" s="2">
        <f t="shared" si="1"/>
        <v>33</v>
      </c>
      <c r="H7" s="2">
        <f t="shared" si="2"/>
        <v>18</v>
      </c>
      <c r="I7" s="2">
        <f t="shared" si="3"/>
        <v>38</v>
      </c>
      <c r="J7" s="2">
        <f t="shared" si="4"/>
        <v>140</v>
      </c>
      <c r="K7" s="2">
        <f t="shared" si="5"/>
        <v>28</v>
      </c>
      <c r="L7" s="2">
        <f t="shared" si="6"/>
        <v>38</v>
      </c>
      <c r="M7" s="2">
        <f t="shared" si="7"/>
        <v>18</v>
      </c>
      <c r="N7" s="2" t="str">
        <f t="shared" si="8"/>
        <v>Fail</v>
      </c>
      <c r="O7" s="2" t="str">
        <f t="shared" si="9"/>
        <v>fail</v>
      </c>
      <c r="P7" s="9">
        <f>RANK(K7,$K$2:$K$20,0)</f>
        <v>15</v>
      </c>
    </row>
    <row r="8" spans="1:16" x14ac:dyDescent="0.25">
      <c r="A8" s="8">
        <v>7</v>
      </c>
      <c r="B8" s="2" t="s">
        <v>31</v>
      </c>
      <c r="C8" s="2">
        <v>10</v>
      </c>
      <c r="D8" s="2">
        <v>16</v>
      </c>
      <c r="E8" s="2">
        <v>86</v>
      </c>
      <c r="F8" s="2">
        <f t="shared" si="0"/>
        <v>81</v>
      </c>
      <c r="G8" s="2">
        <f t="shared" si="1"/>
        <v>91</v>
      </c>
      <c r="H8" s="2">
        <f t="shared" si="2"/>
        <v>76</v>
      </c>
      <c r="I8" s="2">
        <f t="shared" si="3"/>
        <v>96</v>
      </c>
      <c r="J8" s="2">
        <f t="shared" si="4"/>
        <v>430</v>
      </c>
      <c r="K8" s="2">
        <f t="shared" si="5"/>
        <v>86</v>
      </c>
      <c r="L8" s="2">
        <f t="shared" si="6"/>
        <v>96</v>
      </c>
      <c r="M8" s="2">
        <f t="shared" si="7"/>
        <v>76</v>
      </c>
      <c r="N8" s="2" t="str">
        <f t="shared" si="8"/>
        <v>A grade</v>
      </c>
      <c r="O8" s="2" t="str">
        <f t="shared" si="9"/>
        <v>pass</v>
      </c>
      <c r="P8" s="9">
        <f>RANK(K8,$K$2:$K$20,0)</f>
        <v>3</v>
      </c>
    </row>
    <row r="9" spans="1:16" x14ac:dyDescent="0.25">
      <c r="A9" s="8">
        <v>8</v>
      </c>
      <c r="B9" s="2" t="s">
        <v>32</v>
      </c>
      <c r="C9" s="2">
        <v>10</v>
      </c>
      <c r="D9" s="2">
        <v>16</v>
      </c>
      <c r="E9" s="2">
        <v>24</v>
      </c>
      <c r="F9" s="2">
        <f t="shared" si="0"/>
        <v>19</v>
      </c>
      <c r="G9" s="2">
        <f t="shared" si="1"/>
        <v>29</v>
      </c>
      <c r="H9" s="2">
        <f t="shared" si="2"/>
        <v>14</v>
      </c>
      <c r="I9" s="2">
        <f t="shared" si="3"/>
        <v>34</v>
      </c>
      <c r="J9" s="2">
        <f t="shared" si="4"/>
        <v>120</v>
      </c>
      <c r="K9" s="2">
        <f t="shared" si="5"/>
        <v>24</v>
      </c>
      <c r="L9" s="2">
        <f t="shared" si="6"/>
        <v>34</v>
      </c>
      <c r="M9" s="2">
        <f t="shared" si="7"/>
        <v>14</v>
      </c>
      <c r="N9" s="2" t="str">
        <f t="shared" si="8"/>
        <v>Fail</v>
      </c>
      <c r="O9" s="2" t="str">
        <f t="shared" si="9"/>
        <v>fail</v>
      </c>
      <c r="P9" s="9">
        <f>RANK(K9,$K$2:$K$20,0)</f>
        <v>16</v>
      </c>
    </row>
    <row r="10" spans="1:16" x14ac:dyDescent="0.25">
      <c r="A10" s="8">
        <v>9</v>
      </c>
      <c r="B10" s="2" t="s">
        <v>33</v>
      </c>
      <c r="C10" s="2">
        <v>10</v>
      </c>
      <c r="D10" s="2">
        <v>16</v>
      </c>
      <c r="E10" s="2">
        <v>84</v>
      </c>
      <c r="F10" s="2">
        <f t="shared" si="0"/>
        <v>79</v>
      </c>
      <c r="G10" s="2">
        <f t="shared" si="1"/>
        <v>89</v>
      </c>
      <c r="H10" s="2">
        <f t="shared" si="2"/>
        <v>74</v>
      </c>
      <c r="I10" s="2">
        <f t="shared" si="3"/>
        <v>94</v>
      </c>
      <c r="J10" s="2">
        <f t="shared" si="4"/>
        <v>420</v>
      </c>
      <c r="K10" s="2">
        <f t="shared" si="5"/>
        <v>84</v>
      </c>
      <c r="L10" s="2">
        <f t="shared" si="6"/>
        <v>94</v>
      </c>
      <c r="M10" s="2">
        <f t="shared" si="7"/>
        <v>74</v>
      </c>
      <c r="N10" s="2" t="str">
        <f t="shared" si="8"/>
        <v>A grade</v>
      </c>
      <c r="O10" s="2" t="str">
        <f t="shared" si="9"/>
        <v>pass</v>
      </c>
      <c r="P10" s="9">
        <f>RANK(K10,$K$2:$K$20,0)</f>
        <v>4</v>
      </c>
    </row>
    <row r="11" spans="1:16" x14ac:dyDescent="0.25">
      <c r="A11" s="8">
        <v>10</v>
      </c>
      <c r="B11" s="2" t="s">
        <v>34</v>
      </c>
      <c r="C11" s="2">
        <v>10</v>
      </c>
      <c r="D11" s="2">
        <v>16</v>
      </c>
      <c r="E11" s="2">
        <v>24</v>
      </c>
      <c r="F11" s="2">
        <f t="shared" si="0"/>
        <v>19</v>
      </c>
      <c r="G11" s="2">
        <f t="shared" si="1"/>
        <v>29</v>
      </c>
      <c r="H11" s="2">
        <f t="shared" si="2"/>
        <v>14</v>
      </c>
      <c r="I11" s="2">
        <f t="shared" si="3"/>
        <v>34</v>
      </c>
      <c r="J11" s="2">
        <f t="shared" si="4"/>
        <v>120</v>
      </c>
      <c r="K11" s="2">
        <f t="shared" si="5"/>
        <v>24</v>
      </c>
      <c r="L11" s="2">
        <f t="shared" si="6"/>
        <v>34</v>
      </c>
      <c r="M11" s="2">
        <f t="shared" si="7"/>
        <v>14</v>
      </c>
      <c r="N11" s="2" t="str">
        <f t="shared" si="8"/>
        <v>Fail</v>
      </c>
      <c r="O11" s="2" t="str">
        <f t="shared" si="9"/>
        <v>fail</v>
      </c>
      <c r="P11" s="9">
        <f>RANK(K11,$K$2:$K$20,0)</f>
        <v>16</v>
      </c>
    </row>
    <row r="12" spans="1:16" x14ac:dyDescent="0.25">
      <c r="A12" s="8">
        <v>11</v>
      </c>
      <c r="B12" s="2" t="s">
        <v>35</v>
      </c>
      <c r="C12" s="2">
        <v>10</v>
      </c>
      <c r="D12" s="2">
        <v>16</v>
      </c>
      <c r="E12" s="2">
        <v>88</v>
      </c>
      <c r="F12" s="2">
        <f t="shared" si="0"/>
        <v>83</v>
      </c>
      <c r="G12" s="2">
        <f t="shared" si="1"/>
        <v>93</v>
      </c>
      <c r="H12" s="2">
        <f t="shared" si="2"/>
        <v>78</v>
      </c>
      <c r="I12" s="2">
        <f t="shared" si="3"/>
        <v>98</v>
      </c>
      <c r="J12" s="2">
        <f t="shared" si="4"/>
        <v>440</v>
      </c>
      <c r="K12" s="2">
        <f t="shared" si="5"/>
        <v>88</v>
      </c>
      <c r="L12" s="2">
        <f t="shared" si="6"/>
        <v>98</v>
      </c>
      <c r="M12" s="2">
        <f t="shared" si="7"/>
        <v>78</v>
      </c>
      <c r="N12" s="2" t="str">
        <f t="shared" si="8"/>
        <v>A grade</v>
      </c>
      <c r="O12" s="2" t="str">
        <f t="shared" si="9"/>
        <v>pass</v>
      </c>
      <c r="P12" s="9">
        <f>RANK(K12,$K$2:$K$20,0)</f>
        <v>2</v>
      </c>
    </row>
    <row r="13" spans="1:16" x14ac:dyDescent="0.25">
      <c r="A13" s="8">
        <v>12</v>
      </c>
      <c r="B13" s="2" t="s">
        <v>2</v>
      </c>
      <c r="C13" s="2">
        <v>10</v>
      </c>
      <c r="D13" s="2">
        <v>16</v>
      </c>
      <c r="E13" s="2">
        <v>58</v>
      </c>
      <c r="F13" s="2">
        <f t="shared" si="0"/>
        <v>53</v>
      </c>
      <c r="G13" s="2">
        <f t="shared" si="1"/>
        <v>63</v>
      </c>
      <c r="H13" s="2">
        <f t="shared" si="2"/>
        <v>48</v>
      </c>
      <c r="I13" s="2">
        <f t="shared" si="3"/>
        <v>68</v>
      </c>
      <c r="J13" s="2">
        <f t="shared" si="4"/>
        <v>290</v>
      </c>
      <c r="K13" s="2">
        <f t="shared" si="5"/>
        <v>58</v>
      </c>
      <c r="L13" s="2">
        <f t="shared" si="6"/>
        <v>68</v>
      </c>
      <c r="M13" s="2">
        <f t="shared" si="7"/>
        <v>48</v>
      </c>
      <c r="N13" s="2" t="str">
        <f t="shared" si="8"/>
        <v>C grade</v>
      </c>
      <c r="O13" s="2" t="str">
        <f t="shared" si="9"/>
        <v>pass</v>
      </c>
      <c r="P13" s="9">
        <f>RANK(K13,$K$2:$K$20,0)</f>
        <v>7</v>
      </c>
    </row>
    <row r="14" spans="1:16" x14ac:dyDescent="0.25">
      <c r="A14" s="8">
        <v>13</v>
      </c>
      <c r="B14" s="2" t="s">
        <v>36</v>
      </c>
      <c r="C14" s="2">
        <v>10</v>
      </c>
      <c r="D14" s="2">
        <v>16</v>
      </c>
      <c r="E14" s="2">
        <v>56</v>
      </c>
      <c r="F14" s="2">
        <f t="shared" si="0"/>
        <v>51</v>
      </c>
      <c r="G14" s="2">
        <f t="shared" si="1"/>
        <v>61</v>
      </c>
      <c r="H14" s="2">
        <f t="shared" si="2"/>
        <v>46</v>
      </c>
      <c r="I14" s="2">
        <f t="shared" si="3"/>
        <v>66</v>
      </c>
      <c r="J14" s="2">
        <f t="shared" si="4"/>
        <v>280</v>
      </c>
      <c r="K14" s="2">
        <f t="shared" si="5"/>
        <v>56</v>
      </c>
      <c r="L14" s="2">
        <f t="shared" si="6"/>
        <v>66</v>
      </c>
      <c r="M14" s="2">
        <f t="shared" si="7"/>
        <v>46</v>
      </c>
      <c r="N14" s="2" t="str">
        <f t="shared" si="8"/>
        <v>C grade</v>
      </c>
      <c r="O14" s="2" t="str">
        <f t="shared" si="9"/>
        <v>pass</v>
      </c>
      <c r="P14" s="9">
        <f>RANK(K14,$K$2:$K$20,0)</f>
        <v>11</v>
      </c>
    </row>
    <row r="15" spans="1:16" x14ac:dyDescent="0.25">
      <c r="A15" s="8">
        <v>14</v>
      </c>
      <c r="B15" s="2" t="s">
        <v>37</v>
      </c>
      <c r="C15" s="2">
        <v>10</v>
      </c>
      <c r="D15" s="2">
        <v>16</v>
      </c>
      <c r="E15" s="2">
        <v>68</v>
      </c>
      <c r="F15" s="2">
        <f t="shared" si="0"/>
        <v>63</v>
      </c>
      <c r="G15" s="2">
        <f t="shared" si="1"/>
        <v>73</v>
      </c>
      <c r="H15" s="2">
        <f t="shared" si="2"/>
        <v>58</v>
      </c>
      <c r="I15" s="2">
        <f t="shared" si="3"/>
        <v>78</v>
      </c>
      <c r="J15" s="2">
        <f t="shared" si="4"/>
        <v>340</v>
      </c>
      <c r="K15" s="2">
        <f t="shared" si="5"/>
        <v>68</v>
      </c>
      <c r="L15" s="2">
        <f t="shared" si="6"/>
        <v>78</v>
      </c>
      <c r="M15" s="2">
        <f t="shared" si="7"/>
        <v>58</v>
      </c>
      <c r="N15" s="2" t="str">
        <f t="shared" si="8"/>
        <v>B grade</v>
      </c>
      <c r="O15" s="2" t="str">
        <f t="shared" si="9"/>
        <v>pass</v>
      </c>
      <c r="P15" s="9">
        <f>RANK(K15,$K$2:$K$20,0)</f>
        <v>5</v>
      </c>
    </row>
    <row r="16" spans="1:16" x14ac:dyDescent="0.25">
      <c r="A16" s="8">
        <v>15</v>
      </c>
      <c r="B16" s="2" t="s">
        <v>38</v>
      </c>
      <c r="C16" s="2">
        <v>10</v>
      </c>
      <c r="D16" s="2">
        <v>16</v>
      </c>
      <c r="E16" s="2">
        <v>55</v>
      </c>
      <c r="F16" s="2">
        <f t="shared" si="0"/>
        <v>50</v>
      </c>
      <c r="G16" s="2">
        <f>F16+10</f>
        <v>60</v>
      </c>
      <c r="H16" s="2">
        <f t="shared" si="2"/>
        <v>45</v>
      </c>
      <c r="I16" s="2">
        <f t="shared" si="3"/>
        <v>65</v>
      </c>
      <c r="J16" s="2">
        <f t="shared" si="4"/>
        <v>275</v>
      </c>
      <c r="K16" s="2">
        <f t="shared" si="5"/>
        <v>55</v>
      </c>
      <c r="L16" s="2">
        <f t="shared" si="6"/>
        <v>65</v>
      </c>
      <c r="M16" s="2">
        <f t="shared" si="7"/>
        <v>45</v>
      </c>
      <c r="N16" s="2" t="str">
        <f t="shared" si="8"/>
        <v>C grade</v>
      </c>
      <c r="O16" s="2" t="str">
        <f t="shared" si="9"/>
        <v>pass</v>
      </c>
      <c r="P16" s="9">
        <f>RANK(K16,$K$2:$K$20,0)</f>
        <v>12</v>
      </c>
    </row>
    <row r="17" spans="1:16" x14ac:dyDescent="0.25">
      <c r="A17" s="8">
        <v>16</v>
      </c>
      <c r="B17" s="2" t="s">
        <v>39</v>
      </c>
      <c r="C17" s="2">
        <v>10</v>
      </c>
      <c r="D17" s="2">
        <v>16</v>
      </c>
      <c r="E17" s="2">
        <v>24</v>
      </c>
      <c r="F17" s="2">
        <f t="shared" si="0"/>
        <v>19</v>
      </c>
      <c r="G17" s="2">
        <f t="shared" si="1"/>
        <v>29</v>
      </c>
      <c r="H17" s="2">
        <f t="shared" si="2"/>
        <v>14</v>
      </c>
      <c r="I17" s="2">
        <f t="shared" si="3"/>
        <v>34</v>
      </c>
      <c r="J17" s="2">
        <f t="shared" si="4"/>
        <v>120</v>
      </c>
      <c r="K17" s="2">
        <f t="shared" si="5"/>
        <v>24</v>
      </c>
      <c r="L17" s="2">
        <f t="shared" si="6"/>
        <v>34</v>
      </c>
      <c r="M17" s="2">
        <f t="shared" si="7"/>
        <v>14</v>
      </c>
      <c r="N17" s="2" t="str">
        <f t="shared" si="8"/>
        <v>Fail</v>
      </c>
      <c r="O17" s="2" t="str">
        <f t="shared" si="9"/>
        <v>fail</v>
      </c>
      <c r="P17" s="9">
        <f>RANK(K17,$K$2:$K$20,0)</f>
        <v>16</v>
      </c>
    </row>
    <row r="18" spans="1:16" x14ac:dyDescent="0.25">
      <c r="A18" s="8">
        <v>17</v>
      </c>
      <c r="B18" s="2" t="s">
        <v>40</v>
      </c>
      <c r="C18" s="2">
        <v>10</v>
      </c>
      <c r="D18" s="2">
        <v>16</v>
      </c>
      <c r="E18" s="2">
        <v>58</v>
      </c>
      <c r="F18" s="2">
        <f t="shared" si="0"/>
        <v>53</v>
      </c>
      <c r="G18" s="2">
        <f t="shared" si="1"/>
        <v>63</v>
      </c>
      <c r="H18" s="2">
        <f t="shared" si="2"/>
        <v>48</v>
      </c>
      <c r="I18" s="2">
        <f t="shared" si="3"/>
        <v>68</v>
      </c>
      <c r="J18" s="2">
        <f t="shared" si="4"/>
        <v>290</v>
      </c>
      <c r="K18" s="2">
        <f t="shared" si="5"/>
        <v>58</v>
      </c>
      <c r="L18" s="2">
        <f t="shared" si="6"/>
        <v>68</v>
      </c>
      <c r="M18" s="2">
        <f t="shared" si="7"/>
        <v>48</v>
      </c>
      <c r="N18" s="2" t="str">
        <f t="shared" si="8"/>
        <v>C grade</v>
      </c>
      <c r="O18" s="2" t="str">
        <f t="shared" si="9"/>
        <v>pass</v>
      </c>
      <c r="P18" s="9">
        <f>RANK(K18,$K$2:$K$20,0)</f>
        <v>7</v>
      </c>
    </row>
    <row r="19" spans="1:16" x14ac:dyDescent="0.25">
      <c r="A19" s="8">
        <v>18</v>
      </c>
      <c r="B19" s="2" t="s">
        <v>41</v>
      </c>
      <c r="C19" s="2">
        <v>10</v>
      </c>
      <c r="D19" s="2">
        <v>16</v>
      </c>
      <c r="E19" s="2">
        <v>54</v>
      </c>
      <c r="F19" s="2">
        <f>E19-5</f>
        <v>49</v>
      </c>
      <c r="G19" s="2">
        <f t="shared" si="1"/>
        <v>59</v>
      </c>
      <c r="H19" s="2">
        <f t="shared" si="2"/>
        <v>44</v>
      </c>
      <c r="I19" s="2">
        <f t="shared" si="3"/>
        <v>64</v>
      </c>
      <c r="J19" s="2">
        <f t="shared" si="4"/>
        <v>270</v>
      </c>
      <c r="K19" s="2">
        <f t="shared" si="5"/>
        <v>54</v>
      </c>
      <c r="L19" s="2">
        <f t="shared" si="6"/>
        <v>64</v>
      </c>
      <c r="M19" s="2">
        <f t="shared" si="7"/>
        <v>44</v>
      </c>
      <c r="N19" s="2" t="str">
        <f t="shared" si="8"/>
        <v>C grade</v>
      </c>
      <c r="O19" s="2" t="str">
        <f t="shared" si="9"/>
        <v>pass</v>
      </c>
      <c r="P19" s="9">
        <f>RANK(K19,$K$2:$K$20,0)</f>
        <v>13</v>
      </c>
    </row>
    <row r="20" spans="1:16" x14ac:dyDescent="0.25">
      <c r="A20" s="8">
        <v>19</v>
      </c>
      <c r="B20" s="2" t="s">
        <v>42</v>
      </c>
      <c r="C20" s="2">
        <v>10</v>
      </c>
      <c r="D20" s="2">
        <v>16</v>
      </c>
      <c r="E20" s="2">
        <v>58</v>
      </c>
      <c r="F20" s="2">
        <f t="shared" si="0"/>
        <v>53</v>
      </c>
      <c r="G20" s="2">
        <f t="shared" si="1"/>
        <v>63</v>
      </c>
      <c r="H20" s="2">
        <f t="shared" si="2"/>
        <v>48</v>
      </c>
      <c r="I20" s="2">
        <f t="shared" si="3"/>
        <v>68</v>
      </c>
      <c r="J20" s="2">
        <f t="shared" si="4"/>
        <v>290</v>
      </c>
      <c r="K20" s="2">
        <f>J20/5</f>
        <v>58</v>
      </c>
      <c r="L20" s="2">
        <f t="shared" si="6"/>
        <v>68</v>
      </c>
      <c r="M20" s="2">
        <f t="shared" si="7"/>
        <v>48</v>
      </c>
      <c r="N20" s="2" t="str">
        <f t="shared" si="8"/>
        <v>C grade</v>
      </c>
      <c r="O20" s="2" t="str">
        <f t="shared" si="9"/>
        <v>pass</v>
      </c>
      <c r="P20" s="9">
        <f>RANK(K20,$K$2:$K$20,0)</f>
        <v>7</v>
      </c>
    </row>
    <row r="21" spans="1:16" x14ac:dyDescent="0.25">
      <c r="A21" s="10">
        <v>20</v>
      </c>
      <c r="B21" s="11" t="s">
        <v>43</v>
      </c>
      <c r="C21" s="11">
        <v>10</v>
      </c>
      <c r="D21" s="11">
        <v>16</v>
      </c>
      <c r="E21" s="11">
        <v>87</v>
      </c>
      <c r="F21" s="11">
        <f t="shared" si="0"/>
        <v>82</v>
      </c>
      <c r="G21" s="11">
        <f t="shared" si="1"/>
        <v>92</v>
      </c>
      <c r="H21" s="11">
        <f t="shared" si="2"/>
        <v>77</v>
      </c>
      <c r="I21" s="11">
        <f t="shared" si="3"/>
        <v>97</v>
      </c>
      <c r="J21" s="11">
        <f>E21+F21+G21+H21+I21</f>
        <v>435</v>
      </c>
      <c r="K21" s="11">
        <f t="shared" si="5"/>
        <v>87</v>
      </c>
      <c r="L21" s="11">
        <f t="shared" si="6"/>
        <v>97</v>
      </c>
      <c r="M21" s="11">
        <f>MIN(E21:I21)</f>
        <v>77</v>
      </c>
      <c r="N21" s="11" t="str">
        <f t="shared" si="8"/>
        <v>A grade</v>
      </c>
      <c r="O21" s="11" t="str">
        <f t="shared" si="9"/>
        <v>pass</v>
      </c>
      <c r="P21" s="12" t="e">
        <f>RANK(K21,$K$2:$K$20,0)</f>
        <v>#N/A</v>
      </c>
    </row>
  </sheetData>
  <conditionalFormatting sqref="J2:J2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{A58A8664-BC14-43AB-8977-5378E8CAEBCD}</x14:id>
        </ext>
      </extLst>
    </cfRule>
  </conditionalFormatting>
  <conditionalFormatting sqref="P2:P21">
    <cfRule type="top10" dxfId="23" priority="3" rank="10"/>
  </conditionalFormatting>
  <conditionalFormatting sqref="P1:P23">
    <cfRule type="top10" dxfId="22" priority="2" bottom="1" rank="10"/>
  </conditionalFormatting>
  <conditionalFormatting sqref="K2:K21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8A8664-BC14-43AB-8977-5378E8CAE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J2:J21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B862-3F45-4735-AE31-D12B2AC2B233}">
  <dimension ref="A1:E5"/>
  <sheetViews>
    <sheetView workbookViewId="0">
      <selection activeCell="A9" sqref="A9"/>
    </sheetView>
  </sheetViews>
  <sheetFormatPr defaultRowHeight="15" x14ac:dyDescent="0.25"/>
  <cols>
    <col min="1" max="1" width="11" customWidth="1"/>
    <col min="2" max="2" width="9.28515625" bestFit="1" customWidth="1"/>
    <col min="3" max="3" width="10.85546875" customWidth="1"/>
    <col min="4" max="5" width="25.7109375" customWidth="1"/>
  </cols>
  <sheetData>
    <row r="1" spans="1:5" x14ac:dyDescent="0.25">
      <c r="A1" t="s">
        <v>64</v>
      </c>
      <c r="B1" t="s">
        <v>65</v>
      </c>
      <c r="C1" t="s">
        <v>66</v>
      </c>
      <c r="D1" t="s">
        <v>67</v>
      </c>
      <c r="E1" t="s">
        <v>68</v>
      </c>
    </row>
    <row r="2" spans="1:5" x14ac:dyDescent="0.25">
      <c r="A2" s="14">
        <v>46023</v>
      </c>
      <c r="B2">
        <v>208.1</v>
      </c>
    </row>
    <row r="3" spans="1:5" x14ac:dyDescent="0.25">
      <c r="A3" s="14">
        <v>46054</v>
      </c>
      <c r="B3">
        <v>209.3</v>
      </c>
    </row>
    <row r="4" spans="1:5" x14ac:dyDescent="0.25">
      <c r="A4" s="14">
        <v>46082</v>
      </c>
      <c r="B4">
        <v>208.5</v>
      </c>
      <c r="C4">
        <v>208.5</v>
      </c>
      <c r="D4" s="15">
        <v>208.5</v>
      </c>
      <c r="E4" s="15">
        <v>208.5</v>
      </c>
    </row>
    <row r="5" spans="1:5" x14ac:dyDescent="0.25">
      <c r="A5" s="14">
        <v>46110</v>
      </c>
      <c r="C5">
        <f>_xlfn.FORECAST.ETS(A5,$B$2:$B$4,$A$2:$A$4,1,1)</f>
        <v>208.9583990000003</v>
      </c>
      <c r="D5" s="15">
        <f>C5-_xlfn.FORECAST.ETS.CONFINT(A5,$B$2:$B$4,$A$2:$A$4,0.95,1,1)</f>
        <v>207.80462484078024</v>
      </c>
      <c r="E5" s="15">
        <f>C5+_xlfn.FORECAST.ETS.CONFINT(A5,$B$2:$B$4,$A$2:$A$4,0.95,1,1)</f>
        <v>210.11217315922036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4953-FFE3-4C8D-AE6A-122C63BE2058}">
  <dimension ref="A1:J15"/>
  <sheetViews>
    <sheetView topLeftCell="A5" workbookViewId="0">
      <selection activeCell="G14" sqref="G14"/>
    </sheetView>
  </sheetViews>
  <sheetFormatPr defaultRowHeight="15" x14ac:dyDescent="0.25"/>
  <cols>
    <col min="1" max="2" width="9.140625" style="4"/>
    <col min="3" max="3" width="25.5703125" style="4" customWidth="1"/>
    <col min="4" max="8" width="9.140625" style="4"/>
    <col min="9" max="9" width="9.85546875" style="4" bestFit="1" customWidth="1"/>
    <col min="10" max="16384" width="9.140625" style="4"/>
  </cols>
  <sheetData>
    <row r="1" spans="1:10" ht="18.75" x14ac:dyDescent="0.3">
      <c r="A1" s="6" t="s">
        <v>55</v>
      </c>
      <c r="B1" s="6" t="s">
        <v>54</v>
      </c>
      <c r="C1" s="6" t="s">
        <v>53</v>
      </c>
      <c r="D1" s="7"/>
      <c r="E1" s="4" t="s">
        <v>60</v>
      </c>
      <c r="F1" s="4" t="s">
        <v>1</v>
      </c>
      <c r="G1" s="4" t="s">
        <v>61</v>
      </c>
      <c r="I1" s="4" t="s">
        <v>62</v>
      </c>
      <c r="J1" s="4" t="s">
        <v>63</v>
      </c>
    </row>
    <row r="2" spans="1:10" x14ac:dyDescent="0.25">
      <c r="A2" s="2">
        <v>1000</v>
      </c>
      <c r="B2" s="2" t="s">
        <v>49</v>
      </c>
      <c r="C2" s="5" t="s">
        <v>56</v>
      </c>
      <c r="E2" s="4">
        <v>1</v>
      </c>
      <c r="F2" s="4" t="s">
        <v>2</v>
      </c>
      <c r="G2" s="4">
        <v>52</v>
      </c>
      <c r="I2" s="13">
        <v>46023</v>
      </c>
      <c r="J2" s="4">
        <v>208.1</v>
      </c>
    </row>
    <row r="3" spans="1:10" x14ac:dyDescent="0.25">
      <c r="A3" s="2">
        <v>1001</v>
      </c>
      <c r="B3" s="2" t="s">
        <v>50</v>
      </c>
      <c r="C3" s="5" t="s">
        <v>57</v>
      </c>
      <c r="E3" s="4">
        <v>3</v>
      </c>
      <c r="F3" s="4" t="s">
        <v>36</v>
      </c>
      <c r="G3" s="4">
        <v>79</v>
      </c>
      <c r="I3" s="13">
        <v>46054</v>
      </c>
      <c r="J3" s="4">
        <v>208.3</v>
      </c>
    </row>
    <row r="4" spans="1:10" x14ac:dyDescent="0.25">
      <c r="A4" s="2">
        <v>1002</v>
      </c>
      <c r="B4" s="2" t="s">
        <v>51</v>
      </c>
      <c r="C4" s="5" t="s">
        <v>58</v>
      </c>
      <c r="E4" s="4">
        <v>4</v>
      </c>
      <c r="F4" s="4" t="s">
        <v>37</v>
      </c>
      <c r="G4" s="4">
        <v>95</v>
      </c>
      <c r="I4" s="13">
        <v>46082</v>
      </c>
      <c r="J4" s="4">
        <v>208.5</v>
      </c>
    </row>
    <row r="5" spans="1:10" x14ac:dyDescent="0.25">
      <c r="A5" s="2">
        <v>1003</v>
      </c>
      <c r="B5" s="2" t="s">
        <v>52</v>
      </c>
      <c r="C5" s="5" t="s">
        <v>59</v>
      </c>
      <c r="E5" s="4">
        <v>5</v>
      </c>
      <c r="F5" s="4" t="s">
        <v>38</v>
      </c>
      <c r="G5" s="4">
        <v>54</v>
      </c>
      <c r="I5" s="13">
        <v>46113</v>
      </c>
    </row>
    <row r="6" spans="1:10" x14ac:dyDescent="0.25">
      <c r="E6"/>
      <c r="F6"/>
      <c r="G6"/>
      <c r="I6" s="13">
        <v>46143</v>
      </c>
    </row>
    <row r="9" spans="1:10" x14ac:dyDescent="0.25">
      <c r="B9" s="4">
        <v>100</v>
      </c>
    </row>
    <row r="11" spans="1:10" x14ac:dyDescent="0.25">
      <c r="B11" s="4">
        <v>200</v>
      </c>
    </row>
    <row r="12" spans="1:10" x14ac:dyDescent="0.25">
      <c r="E12" s="4">
        <f>B9+B11+B13</f>
        <v>600</v>
      </c>
    </row>
    <row r="13" spans="1:10" x14ac:dyDescent="0.25">
      <c r="B13" s="4">
        <v>300</v>
      </c>
    </row>
    <row r="15" spans="1:10" x14ac:dyDescent="0.25">
      <c r="E15" s="4">
        <f>600+100</f>
        <v>700</v>
      </c>
    </row>
  </sheetData>
  <hyperlinks>
    <hyperlink ref="C2" r:id="rId1" xr:uid="{192AD57E-0404-4B54-B137-2F347467D6E8}"/>
    <hyperlink ref="C3" r:id="rId2" xr:uid="{6E8F9312-9215-4DB2-A69B-034FD780EEDA}"/>
    <hyperlink ref="C4" r:id="rId3" xr:uid="{EDE7F99D-476A-4EBF-A4AB-05B71E2C4332}"/>
    <hyperlink ref="C5" r:id="rId4" xr:uid="{A3DC91E8-1C21-4799-9A7B-C6A02721425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BAEB-1CFB-4118-AB7D-51B52EBDE8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gore</dc:creator>
  <cp:lastModifiedBy>manisha gore</cp:lastModifiedBy>
  <cp:lastPrinted>2026-08-10T14:14:34Z</cp:lastPrinted>
  <dcterms:created xsi:type="dcterms:W3CDTF">2026-08-10T13:25:31Z</dcterms:created>
  <dcterms:modified xsi:type="dcterms:W3CDTF">2026-08-13T05:29:51Z</dcterms:modified>
</cp:coreProperties>
</file>